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giorgio_ucropina_studbocconi_it/Documents/Desktop/Assignment II econometrics/input data/"/>
    </mc:Choice>
  </mc:AlternateContent>
  <xr:revisionPtr revIDLastSave="37" documentId="11_58239CAE027E005E7B2F12417D01B90A96517453" xr6:coauthVersionLast="47" xr6:coauthVersionMax="47" xr10:uidLastSave="{095EE526-2634-463F-AD4F-165B91D3CD5C}"/>
  <bookViews>
    <workbookView xWindow="-108" yWindow="-108" windowWidth="23256" windowHeight="13896" activeTab="1" xr2:uid="{00000000-000D-0000-FFFF-FFFF00000000}"/>
  </bookViews>
  <sheets>
    <sheet name="db" sheetId="1" r:id="rId1"/>
    <sheet name="db_" sheetId="9" r:id="rId2"/>
    <sheet name="gdp" sheetId="2" r:id="rId3"/>
    <sheet name="ftse_mib" sheetId="3" r:id="rId4"/>
    <sheet name="IP" sheetId="4" r:id="rId5"/>
    <sheet name="hicp" sheetId="5" r:id="rId6"/>
    <sheet name="ESI" sheetId="6" r:id="rId7"/>
    <sheet name="EURIBOR" sheetId="7" r:id="rId8"/>
    <sheet name="monthly to quarterly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2" i="9"/>
  <c r="B3" i="9"/>
  <c r="C3" i="9"/>
  <c r="D3" i="9"/>
  <c r="E3" i="9"/>
  <c r="F3" i="9"/>
  <c r="B4" i="9"/>
  <c r="C4" i="9"/>
  <c r="D4" i="9"/>
  <c r="E4" i="9"/>
  <c r="F4" i="9"/>
  <c r="B5" i="9"/>
  <c r="C5" i="9"/>
  <c r="D5" i="9"/>
  <c r="E5" i="9"/>
  <c r="F5" i="9"/>
  <c r="B6" i="9"/>
  <c r="C6" i="9"/>
  <c r="D6" i="9"/>
  <c r="E6" i="9"/>
  <c r="F6" i="9"/>
  <c r="B7" i="9"/>
  <c r="C7" i="9"/>
  <c r="D7" i="9"/>
  <c r="E7" i="9"/>
  <c r="F7" i="9"/>
  <c r="B8" i="9"/>
  <c r="C8" i="9"/>
  <c r="D8" i="9"/>
  <c r="E8" i="9"/>
  <c r="F8" i="9"/>
  <c r="B9" i="9"/>
  <c r="C9" i="9"/>
  <c r="D9" i="9"/>
  <c r="E9" i="9"/>
  <c r="F9" i="9"/>
  <c r="B10" i="9"/>
  <c r="C10" i="9"/>
  <c r="D10" i="9"/>
  <c r="E10" i="9"/>
  <c r="F10" i="9"/>
  <c r="B11" i="9"/>
  <c r="C11" i="9"/>
  <c r="D11" i="9"/>
  <c r="E11" i="9"/>
  <c r="F11" i="9"/>
  <c r="B12" i="9"/>
  <c r="C12" i="9"/>
  <c r="D12" i="9"/>
  <c r="E12" i="9"/>
  <c r="F12" i="9"/>
  <c r="B13" i="9"/>
  <c r="C13" i="9"/>
  <c r="D13" i="9"/>
  <c r="E13" i="9"/>
  <c r="F13" i="9"/>
  <c r="B14" i="9"/>
  <c r="C14" i="9"/>
  <c r="D14" i="9"/>
  <c r="E14" i="9"/>
  <c r="F14" i="9"/>
  <c r="B15" i="9"/>
  <c r="C15" i="9"/>
  <c r="D15" i="9"/>
  <c r="E15" i="9"/>
  <c r="F15" i="9"/>
  <c r="B16" i="9"/>
  <c r="C16" i="9"/>
  <c r="D16" i="9"/>
  <c r="E16" i="9"/>
  <c r="F16" i="9"/>
  <c r="B17" i="9"/>
  <c r="C17" i="9"/>
  <c r="D17" i="9"/>
  <c r="E17" i="9"/>
  <c r="F17" i="9"/>
  <c r="B18" i="9"/>
  <c r="C18" i="9"/>
  <c r="D18" i="9"/>
  <c r="E18" i="9"/>
  <c r="F18" i="9"/>
  <c r="B19" i="9"/>
  <c r="C19" i="9"/>
  <c r="D19" i="9"/>
  <c r="E19" i="9"/>
  <c r="F19" i="9"/>
  <c r="B20" i="9"/>
  <c r="C20" i="9"/>
  <c r="D20" i="9"/>
  <c r="E20" i="9"/>
  <c r="F20" i="9"/>
  <c r="B21" i="9"/>
  <c r="C21" i="9"/>
  <c r="D21" i="9"/>
  <c r="E21" i="9"/>
  <c r="F21" i="9"/>
  <c r="B22" i="9"/>
  <c r="C22" i="9"/>
  <c r="D22" i="9"/>
  <c r="E22" i="9"/>
  <c r="F22" i="9"/>
  <c r="B23" i="9"/>
  <c r="C23" i="9"/>
  <c r="D23" i="9"/>
  <c r="E23" i="9"/>
  <c r="F23" i="9"/>
  <c r="B24" i="9"/>
  <c r="C24" i="9"/>
  <c r="D24" i="9"/>
  <c r="E24" i="9"/>
  <c r="F24" i="9"/>
  <c r="B25" i="9"/>
  <c r="C25" i="9"/>
  <c r="D25" i="9"/>
  <c r="E25" i="9"/>
  <c r="F25" i="9"/>
  <c r="B26" i="9"/>
  <c r="C26" i="9"/>
  <c r="D26" i="9"/>
  <c r="E26" i="9"/>
  <c r="F26" i="9"/>
  <c r="B27" i="9"/>
  <c r="C27" i="9"/>
  <c r="D27" i="9"/>
  <c r="E27" i="9"/>
  <c r="F27" i="9"/>
  <c r="B28" i="9"/>
  <c r="C28" i="9"/>
  <c r="D28" i="9"/>
  <c r="E28" i="9"/>
  <c r="F28" i="9"/>
  <c r="B29" i="9"/>
  <c r="C29" i="9"/>
  <c r="D29" i="9"/>
  <c r="E29" i="9"/>
  <c r="F29" i="9"/>
  <c r="B30" i="9"/>
  <c r="C30" i="9"/>
  <c r="D30" i="9"/>
  <c r="E30" i="9"/>
  <c r="F30" i="9"/>
  <c r="B31" i="9"/>
  <c r="C31" i="9"/>
  <c r="D31" i="9"/>
  <c r="E31" i="9"/>
  <c r="F31" i="9"/>
  <c r="B32" i="9"/>
  <c r="C32" i="9"/>
  <c r="D32" i="9"/>
  <c r="E32" i="9"/>
  <c r="F32" i="9"/>
  <c r="B33" i="9"/>
  <c r="C33" i="9"/>
  <c r="D33" i="9"/>
  <c r="E33" i="9"/>
  <c r="F33" i="9"/>
  <c r="B34" i="9"/>
  <c r="C34" i="9"/>
  <c r="D34" i="9"/>
  <c r="E34" i="9"/>
  <c r="F34" i="9"/>
  <c r="B35" i="9"/>
  <c r="C35" i="9"/>
  <c r="D35" i="9"/>
  <c r="E35" i="9"/>
  <c r="F35" i="9"/>
  <c r="B36" i="9"/>
  <c r="C36" i="9"/>
  <c r="D36" i="9"/>
  <c r="E36" i="9"/>
  <c r="F36" i="9"/>
  <c r="B37" i="9"/>
  <c r="C37" i="9"/>
  <c r="D37" i="9"/>
  <c r="E37" i="9"/>
  <c r="F37" i="9"/>
  <c r="B38" i="9"/>
  <c r="C38" i="9"/>
  <c r="D38" i="9"/>
  <c r="E38" i="9"/>
  <c r="F38" i="9"/>
  <c r="B39" i="9"/>
  <c r="C39" i="9"/>
  <c r="D39" i="9"/>
  <c r="E39" i="9"/>
  <c r="F39" i="9"/>
  <c r="B40" i="9"/>
  <c r="C40" i="9"/>
  <c r="D40" i="9"/>
  <c r="E40" i="9"/>
  <c r="F40" i="9"/>
  <c r="B41" i="9"/>
  <c r="C41" i="9"/>
  <c r="D41" i="9"/>
  <c r="E41" i="9"/>
  <c r="F41" i="9"/>
  <c r="B42" i="9"/>
  <c r="C42" i="9"/>
  <c r="D42" i="9"/>
  <c r="E42" i="9"/>
  <c r="F42" i="9"/>
  <c r="B43" i="9"/>
  <c r="C43" i="9"/>
  <c r="D43" i="9"/>
  <c r="E43" i="9"/>
  <c r="F43" i="9"/>
  <c r="B44" i="9"/>
  <c r="C44" i="9"/>
  <c r="D44" i="9"/>
  <c r="E44" i="9"/>
  <c r="F44" i="9"/>
  <c r="B45" i="9"/>
  <c r="C45" i="9"/>
  <c r="D45" i="9"/>
  <c r="E45" i="9"/>
  <c r="F45" i="9"/>
  <c r="B46" i="9"/>
  <c r="C46" i="9"/>
  <c r="D46" i="9"/>
  <c r="E46" i="9"/>
  <c r="F46" i="9"/>
  <c r="B47" i="9"/>
  <c r="C47" i="9"/>
  <c r="D47" i="9"/>
  <c r="E47" i="9"/>
  <c r="F47" i="9"/>
  <c r="B48" i="9"/>
  <c r="C48" i="9"/>
  <c r="D48" i="9"/>
  <c r="E48" i="9"/>
  <c r="F48" i="9"/>
  <c r="B49" i="9"/>
  <c r="C49" i="9"/>
  <c r="D49" i="9"/>
  <c r="E49" i="9"/>
  <c r="F49" i="9"/>
  <c r="B50" i="9"/>
  <c r="C50" i="9"/>
  <c r="D50" i="9"/>
  <c r="E50" i="9"/>
  <c r="F50" i="9"/>
  <c r="B51" i="9"/>
  <c r="C51" i="9"/>
  <c r="D51" i="9"/>
  <c r="E51" i="9"/>
  <c r="F51" i="9"/>
  <c r="B52" i="9"/>
  <c r="C52" i="9"/>
  <c r="D52" i="9"/>
  <c r="E52" i="9"/>
  <c r="F52" i="9"/>
  <c r="B53" i="9"/>
  <c r="C53" i="9"/>
  <c r="D53" i="9"/>
  <c r="E53" i="9"/>
  <c r="F53" i="9"/>
  <c r="B54" i="9"/>
  <c r="C54" i="9"/>
  <c r="D54" i="9"/>
  <c r="E54" i="9"/>
  <c r="F54" i="9"/>
  <c r="B55" i="9"/>
  <c r="C55" i="9"/>
  <c r="D55" i="9"/>
  <c r="E55" i="9"/>
  <c r="F55" i="9"/>
  <c r="B56" i="9"/>
  <c r="C56" i="9"/>
  <c r="D56" i="9"/>
  <c r="E56" i="9"/>
  <c r="F56" i="9"/>
  <c r="B57" i="9"/>
  <c r="C57" i="9"/>
  <c r="D57" i="9"/>
  <c r="E57" i="9"/>
  <c r="F57" i="9"/>
  <c r="B58" i="9"/>
  <c r="C58" i="9"/>
  <c r="D58" i="9"/>
  <c r="E58" i="9"/>
  <c r="F58" i="9"/>
  <c r="B59" i="9"/>
  <c r="C59" i="9"/>
  <c r="D59" i="9"/>
  <c r="E59" i="9"/>
  <c r="F59" i="9"/>
  <c r="B60" i="9"/>
  <c r="C60" i="9"/>
  <c r="D60" i="9"/>
  <c r="E60" i="9"/>
  <c r="F60" i="9"/>
  <c r="B61" i="9"/>
  <c r="C61" i="9"/>
  <c r="D61" i="9"/>
  <c r="E61" i="9"/>
  <c r="F61" i="9"/>
  <c r="B62" i="9"/>
  <c r="C62" i="9"/>
  <c r="D62" i="9"/>
  <c r="E62" i="9"/>
  <c r="F62" i="9"/>
  <c r="B63" i="9"/>
  <c r="C63" i="9"/>
  <c r="D63" i="9"/>
  <c r="E63" i="9"/>
  <c r="F63" i="9"/>
  <c r="B64" i="9"/>
  <c r="C64" i="9"/>
  <c r="D64" i="9"/>
  <c r="E64" i="9"/>
  <c r="F64" i="9"/>
  <c r="B65" i="9"/>
  <c r="C65" i="9"/>
  <c r="D65" i="9"/>
  <c r="E65" i="9"/>
  <c r="F65" i="9"/>
  <c r="B66" i="9"/>
  <c r="C66" i="9"/>
  <c r="D66" i="9"/>
  <c r="E66" i="9"/>
  <c r="F66" i="9"/>
  <c r="B67" i="9"/>
  <c r="C67" i="9"/>
  <c r="D67" i="9"/>
  <c r="E67" i="9"/>
  <c r="F67" i="9"/>
  <c r="B68" i="9"/>
  <c r="C68" i="9"/>
  <c r="D68" i="9"/>
  <c r="E68" i="9"/>
  <c r="F68" i="9"/>
  <c r="B69" i="9"/>
  <c r="C69" i="9"/>
  <c r="D69" i="9"/>
  <c r="E69" i="9"/>
  <c r="F69" i="9"/>
  <c r="B70" i="9"/>
  <c r="C70" i="9"/>
  <c r="D70" i="9"/>
  <c r="E70" i="9"/>
  <c r="F70" i="9"/>
  <c r="B71" i="9"/>
  <c r="C71" i="9"/>
  <c r="D71" i="9"/>
  <c r="E71" i="9"/>
  <c r="F71" i="9"/>
  <c r="B72" i="9"/>
  <c r="C72" i="9"/>
  <c r="D72" i="9"/>
  <c r="E72" i="9"/>
  <c r="F72" i="9"/>
  <c r="B73" i="9"/>
  <c r="C73" i="9"/>
  <c r="D73" i="9"/>
  <c r="E73" i="9"/>
  <c r="F73" i="9"/>
  <c r="B74" i="9"/>
  <c r="C74" i="9"/>
  <c r="D74" i="9"/>
  <c r="E74" i="9"/>
  <c r="F74" i="9"/>
  <c r="B75" i="9"/>
  <c r="C75" i="9"/>
  <c r="D75" i="9"/>
  <c r="E75" i="9"/>
  <c r="F75" i="9"/>
  <c r="B76" i="9"/>
  <c r="C76" i="9"/>
  <c r="D76" i="9"/>
  <c r="E76" i="9"/>
  <c r="F76" i="9"/>
  <c r="B77" i="9"/>
  <c r="C77" i="9"/>
  <c r="D77" i="9"/>
  <c r="E77" i="9"/>
  <c r="F77" i="9"/>
  <c r="B78" i="9"/>
  <c r="C78" i="9"/>
  <c r="D78" i="9"/>
  <c r="E78" i="9"/>
  <c r="F78" i="9"/>
  <c r="B79" i="9"/>
  <c r="C79" i="9"/>
  <c r="D79" i="9"/>
  <c r="E79" i="9"/>
  <c r="F79" i="9"/>
  <c r="B80" i="9"/>
  <c r="C80" i="9"/>
  <c r="D80" i="9"/>
  <c r="E80" i="9"/>
  <c r="F80" i="9"/>
  <c r="B81" i="9"/>
  <c r="C81" i="9"/>
  <c r="D81" i="9"/>
  <c r="E81" i="9"/>
  <c r="F81" i="9"/>
  <c r="B82" i="9"/>
  <c r="C82" i="9"/>
  <c r="D82" i="9"/>
  <c r="E82" i="9"/>
  <c r="F82" i="9"/>
  <c r="B83" i="9"/>
  <c r="C83" i="9"/>
  <c r="D83" i="9"/>
  <c r="E83" i="9"/>
  <c r="F83" i="9"/>
  <c r="B84" i="9"/>
  <c r="C84" i="9"/>
  <c r="D84" i="9"/>
  <c r="E84" i="9"/>
  <c r="F84" i="9"/>
  <c r="B85" i="9"/>
  <c r="C85" i="9"/>
  <c r="D85" i="9"/>
  <c r="E85" i="9"/>
  <c r="F85" i="9"/>
  <c r="B86" i="9"/>
  <c r="C86" i="9"/>
  <c r="D86" i="9"/>
  <c r="E86" i="9"/>
  <c r="F86" i="9"/>
  <c r="B87" i="9"/>
  <c r="C87" i="9"/>
  <c r="D87" i="9"/>
  <c r="E87" i="9"/>
  <c r="F87" i="9"/>
  <c r="B88" i="9"/>
  <c r="C88" i="9"/>
  <c r="D88" i="9"/>
  <c r="E88" i="9"/>
  <c r="F88" i="9"/>
  <c r="B89" i="9"/>
  <c r="C89" i="9"/>
  <c r="D89" i="9"/>
  <c r="E89" i="9"/>
  <c r="F89" i="9"/>
  <c r="B90" i="9"/>
  <c r="C90" i="9"/>
  <c r="D90" i="9"/>
  <c r="E90" i="9"/>
  <c r="F90" i="9"/>
  <c r="B91" i="9"/>
  <c r="C91" i="9"/>
  <c r="D91" i="9"/>
  <c r="E91" i="9"/>
  <c r="F91" i="9"/>
  <c r="B92" i="9"/>
  <c r="C92" i="9"/>
  <c r="D92" i="9"/>
  <c r="E92" i="9"/>
  <c r="F92" i="9"/>
  <c r="B93" i="9"/>
  <c r="C93" i="9"/>
  <c r="D93" i="9"/>
  <c r="E93" i="9"/>
  <c r="F93" i="9"/>
  <c r="B94" i="9"/>
  <c r="C94" i="9"/>
  <c r="D94" i="9"/>
  <c r="E94" i="9"/>
  <c r="F94" i="9"/>
  <c r="B95" i="9"/>
  <c r="C95" i="9"/>
  <c r="D95" i="9"/>
  <c r="E95" i="9"/>
  <c r="F95" i="9"/>
  <c r="B96" i="9"/>
  <c r="C96" i="9"/>
  <c r="D96" i="9"/>
  <c r="E96" i="9"/>
  <c r="F96" i="9"/>
  <c r="B97" i="9"/>
  <c r="C97" i="9"/>
  <c r="D97" i="9"/>
  <c r="E97" i="9"/>
  <c r="F97" i="9"/>
  <c r="B98" i="9"/>
  <c r="C98" i="9"/>
  <c r="D98" i="9"/>
  <c r="E98" i="9"/>
  <c r="F98" i="9"/>
  <c r="B99" i="9"/>
  <c r="C99" i="9"/>
  <c r="D99" i="9"/>
  <c r="E99" i="9"/>
  <c r="F99" i="9"/>
  <c r="B100" i="9"/>
  <c r="C100" i="9"/>
  <c r="D100" i="9"/>
  <c r="E100" i="9"/>
  <c r="F100" i="9"/>
  <c r="B101" i="9"/>
  <c r="C101" i="9"/>
  <c r="D101" i="9"/>
  <c r="E101" i="9"/>
  <c r="F101" i="9"/>
  <c r="B102" i="9"/>
  <c r="C102" i="9"/>
  <c r="D102" i="9"/>
  <c r="E102" i="9"/>
  <c r="F102" i="9"/>
  <c r="B103" i="9"/>
  <c r="C103" i="9"/>
  <c r="D103" i="9"/>
  <c r="E103" i="9"/>
  <c r="F103" i="9"/>
  <c r="B104" i="9"/>
  <c r="C104" i="9"/>
  <c r="D104" i="9"/>
  <c r="E104" i="9"/>
  <c r="F104" i="9"/>
  <c r="B105" i="9"/>
  <c r="C105" i="9"/>
  <c r="D105" i="9"/>
  <c r="E105" i="9"/>
  <c r="F105" i="9"/>
  <c r="B106" i="9"/>
  <c r="C106" i="9"/>
  <c r="D106" i="9"/>
  <c r="E106" i="9"/>
  <c r="F106" i="9"/>
  <c r="B107" i="9"/>
  <c r="C107" i="9"/>
  <c r="D107" i="9"/>
  <c r="E107" i="9"/>
  <c r="F107" i="9"/>
  <c r="B108" i="9"/>
  <c r="C108" i="9"/>
  <c r="D108" i="9"/>
  <c r="E108" i="9"/>
  <c r="F108" i="9"/>
  <c r="B109" i="9"/>
  <c r="C109" i="9"/>
  <c r="D109" i="9"/>
  <c r="E109" i="9"/>
  <c r="F109" i="9"/>
  <c r="B110" i="9"/>
  <c r="C110" i="9"/>
  <c r="D110" i="9"/>
  <c r="E110" i="9"/>
  <c r="F110" i="9"/>
  <c r="B111" i="9"/>
  <c r="C111" i="9"/>
  <c r="D111" i="9"/>
  <c r="E111" i="9"/>
  <c r="F111" i="9"/>
  <c r="B112" i="9"/>
  <c r="C112" i="9"/>
  <c r="D112" i="9"/>
  <c r="E112" i="9"/>
  <c r="F112" i="9"/>
  <c r="B113" i="9"/>
  <c r="C113" i="9"/>
  <c r="D113" i="9"/>
  <c r="E113" i="9"/>
  <c r="F113" i="9"/>
  <c r="B114" i="9"/>
  <c r="C114" i="9"/>
  <c r="D114" i="9"/>
  <c r="E114" i="9"/>
  <c r="F114" i="9"/>
  <c r="B115" i="9"/>
  <c r="C115" i="9"/>
  <c r="D115" i="9"/>
  <c r="E115" i="9"/>
  <c r="F115" i="9"/>
  <c r="B116" i="9"/>
  <c r="C116" i="9"/>
  <c r="D116" i="9"/>
  <c r="E116" i="9"/>
  <c r="F116" i="9"/>
  <c r="B117" i="9"/>
  <c r="C117" i="9"/>
  <c r="D117" i="9"/>
  <c r="E117" i="9"/>
  <c r="F117" i="9"/>
  <c r="B118" i="9"/>
  <c r="C118" i="9"/>
  <c r="D118" i="9"/>
  <c r="E118" i="9"/>
  <c r="F118" i="9"/>
  <c r="C2" i="9"/>
  <c r="D2" i="9"/>
  <c r="E2" i="9"/>
  <c r="F2" i="9"/>
  <c r="B2" i="9"/>
  <c r="G3" i="8"/>
  <c r="H3" i="8"/>
  <c r="G4" i="8"/>
  <c r="H4" i="8"/>
  <c r="G5" i="8"/>
  <c r="H5" i="8"/>
  <c r="G6" i="8"/>
  <c r="H6" i="8"/>
  <c r="G7" i="8"/>
  <c r="H7" i="8"/>
  <c r="G8" i="8"/>
  <c r="H8" i="8"/>
  <c r="G9" i="8"/>
  <c r="H9" i="8"/>
  <c r="G10" i="8"/>
  <c r="H10" i="8"/>
  <c r="G11" i="8"/>
  <c r="H11" i="8"/>
  <c r="G12" i="8"/>
  <c r="H12" i="8"/>
  <c r="G13" i="8"/>
  <c r="H13" i="8"/>
  <c r="G14" i="8"/>
  <c r="H14" i="8"/>
  <c r="G15" i="8"/>
  <c r="H15" i="8"/>
  <c r="G16" i="8"/>
  <c r="H16" i="8"/>
  <c r="G17" i="8"/>
  <c r="H17" i="8"/>
  <c r="G18" i="8"/>
  <c r="H18" i="8"/>
  <c r="G19" i="8"/>
  <c r="H19" i="8"/>
  <c r="G20" i="8"/>
  <c r="H20" i="8"/>
  <c r="G21" i="8"/>
  <c r="H21" i="8"/>
  <c r="G22" i="8"/>
  <c r="H22" i="8"/>
  <c r="G23" i="8"/>
  <c r="H23" i="8"/>
  <c r="G24" i="8"/>
  <c r="H24" i="8"/>
  <c r="G25" i="8"/>
  <c r="H25" i="8"/>
  <c r="G26" i="8"/>
  <c r="H26" i="8"/>
  <c r="G27" i="8"/>
  <c r="H27" i="8"/>
  <c r="G28" i="8"/>
  <c r="H28" i="8"/>
  <c r="G29" i="8"/>
  <c r="H29" i="8"/>
  <c r="G30" i="8"/>
  <c r="H30" i="8"/>
  <c r="G31" i="8"/>
  <c r="H31" i="8"/>
  <c r="G32" i="8"/>
  <c r="H32" i="8"/>
  <c r="G33" i="8"/>
  <c r="H33" i="8"/>
  <c r="G34" i="8"/>
  <c r="H34" i="8"/>
  <c r="G35" i="8"/>
  <c r="H35" i="8"/>
  <c r="G36" i="8"/>
  <c r="H36" i="8"/>
  <c r="G37" i="8"/>
  <c r="H37" i="8"/>
  <c r="G38" i="8"/>
  <c r="H38" i="8"/>
  <c r="G39" i="8"/>
  <c r="H39" i="8"/>
  <c r="G40" i="8"/>
  <c r="H40" i="8"/>
  <c r="G41" i="8"/>
  <c r="H41" i="8"/>
  <c r="G42" i="8"/>
  <c r="H42" i="8"/>
  <c r="G43" i="8"/>
  <c r="H43" i="8"/>
  <c r="G44" i="8"/>
  <c r="H44" i="8"/>
  <c r="G45" i="8"/>
  <c r="H45" i="8"/>
  <c r="G46" i="8"/>
  <c r="H46" i="8"/>
  <c r="G47" i="8"/>
  <c r="H47" i="8"/>
  <c r="G48" i="8"/>
  <c r="H48" i="8"/>
  <c r="G49" i="8"/>
  <c r="H49" i="8"/>
  <c r="G50" i="8"/>
  <c r="H50" i="8"/>
  <c r="G51" i="8"/>
  <c r="H51" i="8"/>
  <c r="G52" i="8"/>
  <c r="H52" i="8"/>
  <c r="G53" i="8"/>
  <c r="H53" i="8"/>
  <c r="G54" i="8"/>
  <c r="H54" i="8"/>
  <c r="G55" i="8"/>
  <c r="H55" i="8"/>
  <c r="G56" i="8"/>
  <c r="H56" i="8"/>
  <c r="G57" i="8"/>
  <c r="H57" i="8"/>
  <c r="G58" i="8"/>
  <c r="H58" i="8"/>
  <c r="G59" i="8"/>
  <c r="H59" i="8"/>
  <c r="G60" i="8"/>
  <c r="H60" i="8"/>
  <c r="G61" i="8"/>
  <c r="H61" i="8"/>
  <c r="G62" i="8"/>
  <c r="H62" i="8"/>
  <c r="G63" i="8"/>
  <c r="H63" i="8"/>
  <c r="G64" i="8"/>
  <c r="H64" i="8"/>
  <c r="G65" i="8"/>
  <c r="H65" i="8"/>
  <c r="G66" i="8"/>
  <c r="H66" i="8"/>
  <c r="G67" i="8"/>
  <c r="H67" i="8"/>
  <c r="G68" i="8"/>
  <c r="H68" i="8"/>
  <c r="G69" i="8"/>
  <c r="H69" i="8"/>
  <c r="G70" i="8"/>
  <c r="H70" i="8"/>
  <c r="G71" i="8"/>
  <c r="H71" i="8"/>
  <c r="G72" i="8"/>
  <c r="H72" i="8"/>
  <c r="G73" i="8"/>
  <c r="H73" i="8"/>
  <c r="G74" i="8"/>
  <c r="H74" i="8"/>
  <c r="G75" i="8"/>
  <c r="H75" i="8"/>
  <c r="G76" i="8"/>
  <c r="H76" i="8"/>
  <c r="G77" i="8"/>
  <c r="H77" i="8"/>
  <c r="G78" i="8"/>
  <c r="H78" i="8"/>
  <c r="G79" i="8"/>
  <c r="H79" i="8"/>
  <c r="G80" i="8"/>
  <c r="H80" i="8"/>
  <c r="G81" i="8"/>
  <c r="H81" i="8"/>
  <c r="G82" i="8"/>
  <c r="H82" i="8"/>
  <c r="G83" i="8"/>
  <c r="H83" i="8"/>
  <c r="G84" i="8"/>
  <c r="H84" i="8"/>
  <c r="G85" i="8"/>
  <c r="H85" i="8"/>
  <c r="G86" i="8"/>
  <c r="H86" i="8"/>
  <c r="G87" i="8"/>
  <c r="H87" i="8"/>
  <c r="G88" i="8"/>
  <c r="H88" i="8"/>
  <c r="G89" i="8"/>
  <c r="H89" i="8"/>
  <c r="G90" i="8"/>
  <c r="H90" i="8"/>
  <c r="G91" i="8"/>
  <c r="H91" i="8"/>
  <c r="G92" i="8"/>
  <c r="H92" i="8"/>
  <c r="G93" i="8"/>
  <c r="H93" i="8"/>
  <c r="G94" i="8"/>
  <c r="H94" i="8"/>
  <c r="G95" i="8"/>
  <c r="H95" i="8"/>
  <c r="G96" i="8"/>
  <c r="H96" i="8"/>
  <c r="G97" i="8"/>
  <c r="H97" i="8"/>
  <c r="G98" i="8"/>
  <c r="H98" i="8"/>
  <c r="G99" i="8"/>
  <c r="H99" i="8"/>
  <c r="G100" i="8"/>
  <c r="H100" i="8"/>
  <c r="G101" i="8"/>
  <c r="H101" i="8"/>
  <c r="G102" i="8"/>
  <c r="H102" i="8"/>
  <c r="G103" i="8"/>
  <c r="H103" i="8"/>
  <c r="G104" i="8"/>
  <c r="H104" i="8"/>
  <c r="G105" i="8"/>
  <c r="H105" i="8"/>
  <c r="G106" i="8"/>
  <c r="H106" i="8"/>
  <c r="G107" i="8"/>
  <c r="H107" i="8"/>
  <c r="G108" i="8"/>
  <c r="H108" i="8"/>
  <c r="G109" i="8"/>
  <c r="H109" i="8"/>
  <c r="G110" i="8"/>
  <c r="H110" i="8"/>
  <c r="G111" i="8"/>
  <c r="H111" i="8"/>
  <c r="G112" i="8"/>
  <c r="H112" i="8"/>
  <c r="G113" i="8"/>
  <c r="H113" i="8"/>
  <c r="G114" i="8"/>
  <c r="H114" i="8"/>
  <c r="G115" i="8"/>
  <c r="H115" i="8"/>
  <c r="G116" i="8"/>
  <c r="H116" i="8"/>
  <c r="G117" i="8"/>
  <c r="H117" i="8"/>
  <c r="G118" i="8"/>
  <c r="H118" i="8"/>
  <c r="H2" i="8"/>
  <c r="G2" i="8"/>
  <c r="C26" i="7"/>
  <c r="C134" i="6"/>
  <c r="D3" i="5"/>
  <c r="D2" i="5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</calcChain>
</file>

<file path=xl/sharedStrings.xml><?xml version="1.0" encoding="utf-8"?>
<sst xmlns="http://schemas.openxmlformats.org/spreadsheetml/2006/main" count="1524" uniqueCount="921">
  <si>
    <t>date</t>
  </si>
  <si>
    <t>hicp</t>
  </si>
  <si>
    <t>ESI</t>
  </si>
  <si>
    <t>EURIBOR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</si>
  <si>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</si>
  <si>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</si>
  <si>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</si>
  <si>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</si>
  <si>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</si>
  <si>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</si>
  <si>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</si>
  <si>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</si>
  <si>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</si>
  <si>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</si>
  <si>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</si>
  <si>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</si>
  <si>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</si>
  <si>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</si>
  <si>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</si>
  <si>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</si>
  <si>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</si>
  <si>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</si>
  <si>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</si>
  <si>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</si>
  <si>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</si>
  <si>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</si>
  <si>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</si>
  <si>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</si>
  <si>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</si>
  <si>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</si>
  <si>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</si>
  <si>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</si>
  <si>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</si>
  <si>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</si>
  <si>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</si>
  <si>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</si>
  <si>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</si>
  <si>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</si>
  <si>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</si>
  <si>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</si>
  <si>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</si>
  <si>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</si>
  <si>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</si>
  <si>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</si>
  <si>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</si>
  <si>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</si>
  <si>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</si>
  <si>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</si>
  <si>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</si>
  <si>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</si>
  <si>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</si>
  <si>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</si>
  <si>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</si>
  <si>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</si>
  <si>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</si>
  <si>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</si>
  <si>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</si>
  <si>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</si>
  <si>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</si>
  <si>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</si>
  <si>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</si>
  <si>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</si>
  <si>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</si>
  <si>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</si>
  <si>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</si>
  <si>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</si>
  <si>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</si>
  <si>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</si>
  <si>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</si>
  <si>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</si>
  <si>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</si>
  <si>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</si>
  <si>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</si>
  <si>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</si>
  <si>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</si>
  <si>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</si>
  <si>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</si>
  <si>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</si>
  <si>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</si>
  <si>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</si>
  <si>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</si>
  <si>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</si>
  <si>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</si>
  <si>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</si>
  <si>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</si>
  <si>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</si>
  <si>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</si>
  <si>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</si>
  <si>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</si>
  <si>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</si>
  <si>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</si>
  <si>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</si>
  <si>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</si>
  <si>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</si>
  <si>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</si>
  <si>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</si>
  <si>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</si>
  <si>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</si>
  <si>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</si>
  <si>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</si>
  <si>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</si>
  <si>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</si>
  <si>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</si>
  <si>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</si>
  <si>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</si>
  <si>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</si>
  <si>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</si>
  <si>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</si>
  <si>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</si>
  <si>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</si>
  <si>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</si>
  <si>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</si>
  <si>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</si>
  <si>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</si>
  <si>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</si>
  <si>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</si>
  <si>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</si>
  <si>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</si>
  <si>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</si>
  <si>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</si>
  <si>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</si>
  <si>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</si>
  <si>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</si>
  <si>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</si>
  <si>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</si>
  <si>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gdp_yoy</t>
  </si>
  <si>
    <t>ftsemib_yoy</t>
  </si>
  <si>
    <t>ip_yoy</t>
  </si>
  <si>
    <t>gdp</t>
  </si>
  <si>
    <t>gdp y/y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</si>
  <si>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</si>
  <si>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</si>
  <si>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</si>
  <si>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</si>
  <si>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</si>
  <si>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</si>
  <si>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</si>
  <si>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</si>
  <si>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</si>
  <si>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</si>
  <si>
    <t>IP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</si>
  <si>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</si>
  <si>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</si>
  <si>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</si>
  <si>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</si>
  <si>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</si>
  <si>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</si>
  <si>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</si>
  <si>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</si>
  <si>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</si>
  <si>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</si>
  <si>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</si>
  <si>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</si>
  <si>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</si>
  <si>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</si>
  <si>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</si>
  <si>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</si>
  <si>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</si>
  <si>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</si>
  <si>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</si>
  <si>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</si>
  <si>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</si>
  <si>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</si>
  <si>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</si>
  <si>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</si>
  <si>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</si>
  <si>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</si>
  <si>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</si>
  <si>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</si>
  <si>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</si>
  <si>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</si>
  <si>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</si>
  <si>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</si>
  <si>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</si>
  <si>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</si>
  <si>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</si>
  <si>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</si>
  <si>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</si>
  <si>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</si>
  <si>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</si>
  <si>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</si>
  <si>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</si>
  <si>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</si>
  <si>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</si>
  <si>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</si>
  <si>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</si>
  <si>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</si>
  <si>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</si>
  <si>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</si>
  <si>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</si>
  <si>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</si>
  <si>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</si>
  <si>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</si>
  <si>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</si>
  <si>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</si>
  <si>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</si>
  <si>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</si>
  <si>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</si>
  <si>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</si>
  <si>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</si>
  <si>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</si>
  <si>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</si>
  <si>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</si>
  <si>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</si>
  <si>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</si>
  <si>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</si>
  <si>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</si>
  <si>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</si>
  <si>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</si>
  <si>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</si>
  <si>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</si>
  <si>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</si>
  <si>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</si>
  <si>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</si>
  <si>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</si>
  <si>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</si>
  <si>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</si>
  <si>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</si>
  <si>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</si>
  <si>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</si>
  <si>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</si>
  <si>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</si>
  <si>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</si>
  <si>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</si>
  <si>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</si>
  <si>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</si>
  <si>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</si>
  <si>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</si>
  <si>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</si>
  <si>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</si>
  <si>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</si>
  <si>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</si>
  <si>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</si>
  <si>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</si>
  <si>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</si>
  <si>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</si>
  <si>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</si>
  <si>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</si>
  <si>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</si>
  <si>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</si>
  <si>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</si>
  <si>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</si>
  <si>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</si>
  <si>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</si>
  <si>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</si>
  <si>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</si>
  <si>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</si>
  <si>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</si>
  <si>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</si>
  <si>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</si>
  <si>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</si>
  <si>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</si>
  <si>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</si>
  <si>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</si>
  <si>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</si>
  <si>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</si>
  <si>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</si>
  <si>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</si>
  <si>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</si>
  <si>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</si>
  <si>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</si>
  <si>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</si>
  <si>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</si>
  <si>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</si>
  <si>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</si>
  <si>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</si>
  <si>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</si>
  <si>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</si>
  <si>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</si>
  <si>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</si>
  <si>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</si>
  <si>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</si>
  <si>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</si>
  <si>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</si>
  <si>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</si>
  <si>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</si>
  <si>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</si>
  <si>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</si>
  <si>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</si>
  <si>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</si>
  <si>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</si>
  <si>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</si>
  <si>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</si>
  <si>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</si>
  <si>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</si>
  <si>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</si>
  <si>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</si>
  <si>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</si>
  <si>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</si>
  <si>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</si>
  <si>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</si>
  <si>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</si>
  <si>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</si>
  <si>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</si>
  <si>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</si>
  <si>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</si>
  <si>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</si>
  <si>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</si>
  <si>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</si>
  <si>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</si>
  <si>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</si>
  <si>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</si>
  <si>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</si>
  <si>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</si>
  <si>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</si>
  <si>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</si>
  <si>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</si>
  <si>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</si>
  <si>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</si>
  <si>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</si>
  <si>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</si>
  <si>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</si>
  <si>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</si>
  <si>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</si>
  <si>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</si>
  <si>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</si>
  <si>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</si>
  <si>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</si>
  <si>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</si>
  <si>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</si>
  <si>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</si>
  <si>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</si>
  <si>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</si>
  <si>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</si>
  <si>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</si>
  <si>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</si>
  <si>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</si>
  <si>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</si>
  <si>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</si>
  <si>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</si>
  <si>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</si>
  <si>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</si>
  <si>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</si>
  <si>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</si>
  <si>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</si>
  <si>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</si>
  <si>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</si>
  <si>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</si>
  <si>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</si>
  <si>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</si>
  <si>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</si>
  <si>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</si>
  <si>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</si>
  <si>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</si>
  <si>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</si>
  <si>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</si>
  <si>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</si>
  <si>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</si>
  <si>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</si>
  <si>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</si>
  <si>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</si>
  <si>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</si>
  <si>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</si>
  <si>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</si>
  <si>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</si>
  <si>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</si>
  <si>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</si>
  <si>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</si>
  <si>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</si>
  <si>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</si>
  <si>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</si>
  <si>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</si>
  <si>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</si>
  <si>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</si>
  <si>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</si>
  <si>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</si>
  <si>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</si>
  <si>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</si>
  <si>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</si>
  <si>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</si>
  <si>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</si>
  <si>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</si>
  <si>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</si>
  <si>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</si>
  <si>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</si>
  <si>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</si>
  <si>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</si>
  <si>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</si>
  <si>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</si>
  <si>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</si>
  <si>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</si>
  <si>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</si>
  <si>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</si>
  <si>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</si>
  <si>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</si>
  <si>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</si>
  <si>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</si>
  <si>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</si>
  <si>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</si>
  <si>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</si>
  <si>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</si>
  <si>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</si>
  <si>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</si>
  <si>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</si>
  <si>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</si>
  <si>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</si>
  <si>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</si>
  <si>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</si>
  <si>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</si>
  <si>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</si>
  <si>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</si>
  <si>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</si>
  <si>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</si>
  <si>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</si>
  <si>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</si>
  <si>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</si>
  <si>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</si>
  <si>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</si>
  <si>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</si>
  <si>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</si>
  <si>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</si>
  <si>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</si>
  <si>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</si>
  <si>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</si>
  <si>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</si>
  <si>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</si>
  <si>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</si>
  <si>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</si>
  <si>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</si>
  <si>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</si>
  <si>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</si>
  <si>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</si>
  <si>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</si>
  <si>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</si>
  <si>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</si>
  <si>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</si>
  <si>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</si>
  <si>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</si>
  <si>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</si>
  <si>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</si>
  <si>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</si>
  <si>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</si>
  <si>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</si>
  <si>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</si>
  <si>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</si>
  <si>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</si>
  <si>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</si>
  <si>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</si>
  <si>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</si>
  <si>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</si>
  <si>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</si>
  <si>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</si>
  <si>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</si>
  <si>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</si>
  <si>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</si>
  <si>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</si>
  <si>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</si>
  <si>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</si>
  <si>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</si>
  <si>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</si>
  <si>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</si>
  <si>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</si>
  <si>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</si>
  <si>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</si>
  <si>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</si>
  <si>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</si>
  <si>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</si>
  <si>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</si>
  <si>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</si>
  <si>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</si>
  <si>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</si>
  <si>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</si>
  <si>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</si>
  <si>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</si>
  <si>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</si>
  <si>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</si>
  <si>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</si>
  <si>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</si>
  <si>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</si>
  <si>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</si>
  <si>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</si>
  <si>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</si>
  <si>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</si>
  <si>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</si>
  <si>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</si>
  <si>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</si>
  <si>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</si>
  <si>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</si>
  <si>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</si>
  <si>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</si>
  <si>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</si>
  <si>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</si>
  <si>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</si>
  <si>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</si>
  <si>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</si>
  <si>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</si>
  <si>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</si>
  <si>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</si>
  <si>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</si>
  <si>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</si>
  <si>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</si>
  <si>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</si>
  <si>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</si>
  <si>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</si>
  <si>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</si>
  <si>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</si>
  <si>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</si>
  <si>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</si>
  <si>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</si>
  <si>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</si>
  <si>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</si>
  <si>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</si>
  <si>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</si>
  <si>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</si>
  <si>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</si>
  <si>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</si>
  <si>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</si>
  <si>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</si>
  <si>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</si>
  <si>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</si>
  <si>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</si>
  <si>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</si>
  <si>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</si>
  <si>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</si>
  <si>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</si>
  <si>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</si>
  <si>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</si>
  <si>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</si>
  <si>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</si>
  <si>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</si>
  <si>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</si>
  <si>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</si>
  <si>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</si>
  <si>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</si>
  <si>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</si>
  <si>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</si>
  <si>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</si>
  <si>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</si>
  <si>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IT_ESI</t>
  </si>
  <si>
    <t>NA</t>
  </si>
  <si>
    <t>TIME PERIOD</t>
  </si>
  <si>
    <t>Real 3-month Euribor (Euro Interbank Offered Rate)</t>
  </si>
  <si>
    <t>1994Jan</t>
  </si>
  <si>
    <t>1994Feb</t>
  </si>
  <si>
    <t>1994Mar</t>
  </si>
  <si>
    <t>1994Apr</t>
  </si>
  <si>
    <t>1994May</t>
  </si>
  <si>
    <t>1994Jun</t>
  </si>
  <si>
    <t>1994Jul</t>
  </si>
  <si>
    <t>1994Aug</t>
  </si>
  <si>
    <t>1994Sep</t>
  </si>
  <si>
    <t>1994Oct</t>
  </si>
  <si>
    <t>1994Nov</t>
  </si>
  <si>
    <t>1994Dec</t>
  </si>
  <si>
    <t>1995Jan</t>
  </si>
  <si>
    <t>1995Feb</t>
  </si>
  <si>
    <t>1995Mar</t>
  </si>
  <si>
    <t>1995Apr</t>
  </si>
  <si>
    <t>1995May</t>
  </si>
  <si>
    <t>1995Jun</t>
  </si>
  <si>
    <t>1995Jul</t>
  </si>
  <si>
    <t>1995Aug</t>
  </si>
  <si>
    <t>1995Sep</t>
  </si>
  <si>
    <t>1995Oct</t>
  </si>
  <si>
    <t>1995Nov</t>
  </si>
  <si>
    <t>1995Dec</t>
  </si>
  <si>
    <t>1996Jan</t>
  </si>
  <si>
    <t>1996Feb</t>
  </si>
  <si>
    <t>1996Mar</t>
  </si>
  <si>
    <t>1996Apr</t>
  </si>
  <si>
    <t>1996May</t>
  </si>
  <si>
    <t>1996Jun</t>
  </si>
  <si>
    <t>1996Jul</t>
  </si>
  <si>
    <t>1996Aug</t>
  </si>
  <si>
    <t>1996Sep</t>
  </si>
  <si>
    <t>1996Oct</t>
  </si>
  <si>
    <t>1996Nov</t>
  </si>
  <si>
    <t>1996Dec</t>
  </si>
  <si>
    <t>1997Jan</t>
  </si>
  <si>
    <t>1997Feb</t>
  </si>
  <si>
    <t>1997Mar</t>
  </si>
  <si>
    <t>1997Apr</t>
  </si>
  <si>
    <t>1997May</t>
  </si>
  <si>
    <t>1997Jun</t>
  </si>
  <si>
    <t>1997Jul</t>
  </si>
  <si>
    <t>1997Aug</t>
  </si>
  <si>
    <t>1997Sep</t>
  </si>
  <si>
    <t>1997Oct</t>
  </si>
  <si>
    <t>1997Nov</t>
  </si>
  <si>
    <t>1997Dec</t>
  </si>
  <si>
    <t>1998Jan</t>
  </si>
  <si>
    <t>1998Feb</t>
  </si>
  <si>
    <t>1998Mar</t>
  </si>
  <si>
    <t>1998Apr</t>
  </si>
  <si>
    <t>1998May</t>
  </si>
  <si>
    <t>1998Jun</t>
  </si>
  <si>
    <t>1998Jul</t>
  </si>
  <si>
    <t>1998Aug</t>
  </si>
  <si>
    <t>1998Sep</t>
  </si>
  <si>
    <t>1998Oct</t>
  </si>
  <si>
    <t>1998Nov</t>
  </si>
  <si>
    <t>1998Dec</t>
  </si>
  <si>
    <t>1999Jan</t>
  </si>
  <si>
    <t>1999Feb</t>
  </si>
  <si>
    <t>1999Mar</t>
  </si>
  <si>
    <t>1999Apr</t>
  </si>
  <si>
    <t>1999May</t>
  </si>
  <si>
    <t>1999Jun</t>
  </si>
  <si>
    <t>1999Jul</t>
  </si>
  <si>
    <t>1999Aug</t>
  </si>
  <si>
    <t>1999Sep</t>
  </si>
  <si>
    <t>1999Oct</t>
  </si>
  <si>
    <t>1999Nov</t>
  </si>
  <si>
    <t>1999Dec</t>
  </si>
  <si>
    <t>2000Jan</t>
  </si>
  <si>
    <t>2000Feb</t>
  </si>
  <si>
    <t>2000Mar</t>
  </si>
  <si>
    <t>2000Apr</t>
  </si>
  <si>
    <t>2000May</t>
  </si>
  <si>
    <t>2000Jun</t>
  </si>
  <si>
    <t>2000Jul</t>
  </si>
  <si>
    <t>2000Aug</t>
  </si>
  <si>
    <t>2000Sep</t>
  </si>
  <si>
    <t>2000Oct</t>
  </si>
  <si>
    <t>2000Nov</t>
  </si>
  <si>
    <t>2000Dec</t>
  </si>
  <si>
    <t>2001Jan</t>
  </si>
  <si>
    <t>2001Feb</t>
  </si>
  <si>
    <t>2001Mar</t>
  </si>
  <si>
    <t>2001Apr</t>
  </si>
  <si>
    <t>2001May</t>
  </si>
  <si>
    <t>2001Jun</t>
  </si>
  <si>
    <t>2001Jul</t>
  </si>
  <si>
    <t>2001Aug</t>
  </si>
  <si>
    <t>2001Sep</t>
  </si>
  <si>
    <t>2001Oct</t>
  </si>
  <si>
    <t>2001Nov</t>
  </si>
  <si>
    <t>2001Dec</t>
  </si>
  <si>
    <t>2002Jan</t>
  </si>
  <si>
    <t>2002Feb</t>
  </si>
  <si>
    <t>2002Mar</t>
  </si>
  <si>
    <t>2002Apr</t>
  </si>
  <si>
    <t>2002May</t>
  </si>
  <si>
    <t>2002Jun</t>
  </si>
  <si>
    <t>2002Jul</t>
  </si>
  <si>
    <t>2002Aug</t>
  </si>
  <si>
    <t>2002Sep</t>
  </si>
  <si>
    <t>2002Oct</t>
  </si>
  <si>
    <t>2002Nov</t>
  </si>
  <si>
    <t>2002Dec</t>
  </si>
  <si>
    <t>2003Jan</t>
  </si>
  <si>
    <t>2003Feb</t>
  </si>
  <si>
    <t>2003Mar</t>
  </si>
  <si>
    <t>2003Apr</t>
  </si>
  <si>
    <t>2003May</t>
  </si>
  <si>
    <t>2003Jun</t>
  </si>
  <si>
    <t>2003Jul</t>
  </si>
  <si>
    <t>2003Aug</t>
  </si>
  <si>
    <t>2003Sep</t>
  </si>
  <si>
    <t>2003Oct</t>
  </si>
  <si>
    <t>2003Nov</t>
  </si>
  <si>
    <t>2003Dec</t>
  </si>
  <si>
    <t>2004Jan</t>
  </si>
  <si>
    <t>2004Feb</t>
  </si>
  <si>
    <t>2004Mar</t>
  </si>
  <si>
    <t>2004Apr</t>
  </si>
  <si>
    <t>2004May</t>
  </si>
  <si>
    <t>2004Jun</t>
  </si>
  <si>
    <t>2004Jul</t>
  </si>
  <si>
    <t>2004Aug</t>
  </si>
  <si>
    <t>2004Sep</t>
  </si>
  <si>
    <t>2004Oct</t>
  </si>
  <si>
    <t>2004Nov</t>
  </si>
  <si>
    <t>2004Dec</t>
  </si>
  <si>
    <t>2005Jan</t>
  </si>
  <si>
    <t>2005Feb</t>
  </si>
  <si>
    <t>2005Mar</t>
  </si>
  <si>
    <t>2005Apr</t>
  </si>
  <si>
    <t>2005May</t>
  </si>
  <si>
    <t>2005Jun</t>
  </si>
  <si>
    <t>2005Jul</t>
  </si>
  <si>
    <t>2005Aug</t>
  </si>
  <si>
    <t>2005Sep</t>
  </si>
  <si>
    <t>2005Oct</t>
  </si>
  <si>
    <t>2005Nov</t>
  </si>
  <si>
    <t>2005Dec</t>
  </si>
  <si>
    <t>2006Jan</t>
  </si>
  <si>
    <t>2006Feb</t>
  </si>
  <si>
    <t>2006Mar</t>
  </si>
  <si>
    <t>2006Apr</t>
  </si>
  <si>
    <t>2006May</t>
  </si>
  <si>
    <t>2006Jun</t>
  </si>
  <si>
    <t>2006Jul</t>
  </si>
  <si>
    <t>2006Aug</t>
  </si>
  <si>
    <t>2006Sep</t>
  </si>
  <si>
    <t>2006Oct</t>
  </si>
  <si>
    <t>2006Nov</t>
  </si>
  <si>
    <t>2006Dec</t>
  </si>
  <si>
    <t>2007Jan</t>
  </si>
  <si>
    <t>2007Feb</t>
  </si>
  <si>
    <t>2007Mar</t>
  </si>
  <si>
    <t>2007Apr</t>
  </si>
  <si>
    <t>2007May</t>
  </si>
  <si>
    <t>2007Jun</t>
  </si>
  <si>
    <t>2007Jul</t>
  </si>
  <si>
    <t>2007Aug</t>
  </si>
  <si>
    <t>2007Sep</t>
  </si>
  <si>
    <t>2007Oct</t>
  </si>
  <si>
    <t>2007Nov</t>
  </si>
  <si>
    <t>2007Dec</t>
  </si>
  <si>
    <t>2008Jan</t>
  </si>
  <si>
    <t>2008Feb</t>
  </si>
  <si>
    <t>2008Mar</t>
  </si>
  <si>
    <t>2008Apr</t>
  </si>
  <si>
    <t>2008May</t>
  </si>
  <si>
    <t>2008Jun</t>
  </si>
  <si>
    <t>2008Jul</t>
  </si>
  <si>
    <t>2008Aug</t>
  </si>
  <si>
    <t>2008Sep</t>
  </si>
  <si>
    <t>2008Oct</t>
  </si>
  <si>
    <t>2008Nov</t>
  </si>
  <si>
    <t>2008Dec</t>
  </si>
  <si>
    <t>2009Jan</t>
  </si>
  <si>
    <t>2009Feb</t>
  </si>
  <si>
    <t>2009Mar</t>
  </si>
  <si>
    <t>2009Apr</t>
  </si>
  <si>
    <t>2009May</t>
  </si>
  <si>
    <t>2009Jun</t>
  </si>
  <si>
    <t>2009Jul</t>
  </si>
  <si>
    <t>2009Aug</t>
  </si>
  <si>
    <t>2009Sep</t>
  </si>
  <si>
    <t>2009Oct</t>
  </si>
  <si>
    <t>2009Nov</t>
  </si>
  <si>
    <t>2009Dec</t>
  </si>
  <si>
    <t>2010Jan</t>
  </si>
  <si>
    <t>2010Feb</t>
  </si>
  <si>
    <t>2010Mar</t>
  </si>
  <si>
    <t>2010Apr</t>
  </si>
  <si>
    <t>2010May</t>
  </si>
  <si>
    <t>2010Jun</t>
  </si>
  <si>
    <t>2010Jul</t>
  </si>
  <si>
    <t>2010Aug</t>
  </si>
  <si>
    <t>2010Sep</t>
  </si>
  <si>
    <t>2010Oct</t>
  </si>
  <si>
    <t>2010Nov</t>
  </si>
  <si>
    <t>2010Dec</t>
  </si>
  <si>
    <t>2011Jan</t>
  </si>
  <si>
    <t>2011Feb</t>
  </si>
  <si>
    <t>2011Mar</t>
  </si>
  <si>
    <t>2011Apr</t>
  </si>
  <si>
    <t>2011May</t>
  </si>
  <si>
    <t>2011Jun</t>
  </si>
  <si>
    <t>2011Jul</t>
  </si>
  <si>
    <t>2011Aug</t>
  </si>
  <si>
    <t>2011Sep</t>
  </si>
  <si>
    <t>2011Oct</t>
  </si>
  <si>
    <t>2011Nov</t>
  </si>
  <si>
    <t>2011Dec</t>
  </si>
  <si>
    <t>2012Jan</t>
  </si>
  <si>
    <t>2012Feb</t>
  </si>
  <si>
    <t>2012Mar</t>
  </si>
  <si>
    <t>2012Apr</t>
  </si>
  <si>
    <t>2012May</t>
  </si>
  <si>
    <t>2012Jun</t>
  </si>
  <si>
    <t>2012Jul</t>
  </si>
  <si>
    <t>2012Aug</t>
  </si>
  <si>
    <t>2012Sep</t>
  </si>
  <si>
    <t>2012Oct</t>
  </si>
  <si>
    <t>2012Nov</t>
  </si>
  <si>
    <t>2012Dec</t>
  </si>
  <si>
    <t>2013Jan</t>
  </si>
  <si>
    <t>2013Feb</t>
  </si>
  <si>
    <t>2013Mar</t>
  </si>
  <si>
    <t>2013Apr</t>
  </si>
  <si>
    <t>2013May</t>
  </si>
  <si>
    <t>2013Jun</t>
  </si>
  <si>
    <t>2013Jul</t>
  </si>
  <si>
    <t>2013Aug</t>
  </si>
  <si>
    <t>2013Sep</t>
  </si>
  <si>
    <t>2013Oct</t>
  </si>
  <si>
    <t>2013Nov</t>
  </si>
  <si>
    <t>2013Dec</t>
  </si>
  <si>
    <t>2014Jan</t>
  </si>
  <si>
    <t>2014Feb</t>
  </si>
  <si>
    <t>2014Mar</t>
  </si>
  <si>
    <t>2014Apr</t>
  </si>
  <si>
    <t>2014May</t>
  </si>
  <si>
    <t>2014Jun</t>
  </si>
  <si>
    <t>2014Jul</t>
  </si>
  <si>
    <t>2014Aug</t>
  </si>
  <si>
    <t>2014Sep</t>
  </si>
  <si>
    <t>2014Oct</t>
  </si>
  <si>
    <t>2014Nov</t>
  </si>
  <si>
    <t>2014Dec</t>
  </si>
  <si>
    <t>2015Jan</t>
  </si>
  <si>
    <t>2015Feb</t>
  </si>
  <si>
    <t>2015Mar</t>
  </si>
  <si>
    <t>2015Apr</t>
  </si>
  <si>
    <t>2015May</t>
  </si>
  <si>
    <t>2015Jun</t>
  </si>
  <si>
    <t>2015Jul</t>
  </si>
  <si>
    <t>2015Aug</t>
  </si>
  <si>
    <t>2015Sep</t>
  </si>
  <si>
    <t>2015Oct</t>
  </si>
  <si>
    <t>2015Nov</t>
  </si>
  <si>
    <t>2015Dec</t>
  </si>
  <si>
    <t>2016Jan</t>
  </si>
  <si>
    <t>2016Feb</t>
  </si>
  <si>
    <t>2016Mar</t>
  </si>
  <si>
    <t>2016Apr</t>
  </si>
  <si>
    <t>2016May</t>
  </si>
  <si>
    <t>2016Jun</t>
  </si>
  <si>
    <t>2016Jul</t>
  </si>
  <si>
    <t>2016Aug</t>
  </si>
  <si>
    <t>2016Sep</t>
  </si>
  <si>
    <t>2016Oct</t>
  </si>
  <si>
    <t>2016Nov</t>
  </si>
  <si>
    <t>2016Dec</t>
  </si>
  <si>
    <t>2017Jan</t>
  </si>
  <si>
    <t>2017Feb</t>
  </si>
  <si>
    <t>2017Mar</t>
  </si>
  <si>
    <t>2017Apr</t>
  </si>
  <si>
    <t>2017May</t>
  </si>
  <si>
    <t>2017Jun</t>
  </si>
  <si>
    <t>2017Jul</t>
  </si>
  <si>
    <t>2017Aug</t>
  </si>
  <si>
    <t>2017Sep</t>
  </si>
  <si>
    <t>2017Oct</t>
  </si>
  <si>
    <t>2017Nov</t>
  </si>
  <si>
    <t>2017Dec</t>
  </si>
  <si>
    <t>2018Jan</t>
  </si>
  <si>
    <t>2018Feb</t>
  </si>
  <si>
    <t>2018Mar</t>
  </si>
  <si>
    <t>2018Apr</t>
  </si>
  <si>
    <t>2018May</t>
  </si>
  <si>
    <t>2018Jun</t>
  </si>
  <si>
    <t>2018Jul</t>
  </si>
  <si>
    <t>2018Aug</t>
  </si>
  <si>
    <t>2018Sep</t>
  </si>
  <si>
    <t>2018Oct</t>
  </si>
  <si>
    <t>2018Nov</t>
  </si>
  <si>
    <t>2018Dec</t>
  </si>
  <si>
    <t>2019Jan</t>
  </si>
  <si>
    <t>2019Feb</t>
  </si>
  <si>
    <t>2019Mar</t>
  </si>
  <si>
    <t>2019Apr</t>
  </si>
  <si>
    <t>2019May</t>
  </si>
  <si>
    <t>2019Jun</t>
  </si>
  <si>
    <t>2019Jul</t>
  </si>
  <si>
    <t>2019Aug</t>
  </si>
  <si>
    <t>2019Sep</t>
  </si>
  <si>
    <t>2019Oct</t>
  </si>
  <si>
    <t>2019Nov</t>
  </si>
  <si>
    <t>2019Dec</t>
  </si>
  <si>
    <t>2020Jan</t>
  </si>
  <si>
    <t>2020Feb</t>
  </si>
  <si>
    <t>2020Mar</t>
  </si>
  <si>
    <t>2020Apr</t>
  </si>
  <si>
    <t>2020May</t>
  </si>
  <si>
    <t>2020Jun</t>
  </si>
  <si>
    <t>2020Jul</t>
  </si>
  <si>
    <t>2020Aug</t>
  </si>
  <si>
    <t>2020Sep</t>
  </si>
  <si>
    <t>2020Oct</t>
  </si>
  <si>
    <t>2020Nov</t>
  </si>
  <si>
    <t>2020Dec</t>
  </si>
  <si>
    <t>2021Jan</t>
  </si>
  <si>
    <t>2021Feb</t>
  </si>
  <si>
    <t>2021Mar</t>
  </si>
  <si>
    <t>2021Apr</t>
  </si>
  <si>
    <t>2021May</t>
  </si>
  <si>
    <t>2021Jun</t>
  </si>
  <si>
    <t>2021Jul</t>
  </si>
  <si>
    <t>2021Aug</t>
  </si>
  <si>
    <t>2021Sep</t>
  </si>
  <si>
    <t>2021Oct</t>
  </si>
  <si>
    <t>2021Nov</t>
  </si>
  <si>
    <t>2021Dec</t>
  </si>
  <si>
    <t>2022Jan</t>
  </si>
  <si>
    <t>2022Feb</t>
  </si>
  <si>
    <t>2022Mar</t>
  </si>
  <si>
    <t>2022Apr</t>
  </si>
  <si>
    <t>2022May</t>
  </si>
  <si>
    <t>2022Jun</t>
  </si>
  <si>
    <t>2022Jul</t>
  </si>
  <si>
    <t>2022Aug</t>
  </si>
  <si>
    <t>2022Sep</t>
  </si>
  <si>
    <t>2022Oct</t>
  </si>
  <si>
    <t>2022Nov</t>
  </si>
  <si>
    <t>2022Dec</t>
  </si>
  <si>
    <t>2023Jan</t>
  </si>
  <si>
    <t>2023Feb</t>
  </si>
  <si>
    <t>2023Mar</t>
  </si>
  <si>
    <t>2023Apr</t>
  </si>
  <si>
    <t>2023May</t>
  </si>
  <si>
    <t>2023Jun</t>
  </si>
  <si>
    <t>2023Jul</t>
  </si>
  <si>
    <t>2023Aug</t>
  </si>
  <si>
    <t>2023Sep</t>
  </si>
  <si>
    <t>2023Oct</t>
  </si>
  <si>
    <t>2023Nov</t>
  </si>
  <si>
    <t>2023Dec</t>
  </si>
  <si>
    <t>2024Jan</t>
  </si>
  <si>
    <t>2024Feb</t>
  </si>
  <si>
    <t>2024Mar</t>
  </si>
  <si>
    <t>2024Apr</t>
  </si>
  <si>
    <t>2024May</t>
  </si>
  <si>
    <t>2024Jun</t>
  </si>
  <si>
    <t>2024Jul</t>
  </si>
  <si>
    <t>2024Aug</t>
  </si>
  <si>
    <t>2024Sep</t>
  </si>
  <si>
    <t>2024Oct</t>
  </si>
  <si>
    <t>2024Nov</t>
  </si>
  <si>
    <t>2024Dec</t>
  </si>
  <si>
    <t>2025Jan</t>
  </si>
  <si>
    <t>2025Feb</t>
  </si>
  <si>
    <t>2025Mar</t>
  </si>
  <si>
    <t>2025Apr</t>
  </si>
  <si>
    <t>2025May</t>
  </si>
  <si>
    <t>2025Jun</t>
  </si>
  <si>
    <t>2025Jul</t>
  </si>
  <si>
    <t>2025Aug</t>
  </si>
  <si>
    <t>2025Sep</t>
  </si>
  <si>
    <t>2025Oct</t>
  </si>
  <si>
    <t>2025Nov</t>
  </si>
  <si>
    <t>2025Dec</t>
  </si>
  <si>
    <t>2026Feb</t>
  </si>
  <si>
    <t>2026Mar</t>
  </si>
  <si>
    <t>hicp_yoy</t>
  </si>
  <si>
    <t>esi_yoy</t>
  </si>
  <si>
    <t>euribor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</si>
</sst>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##########"/>
    <numFmt numFmtId="165" formatCode="#,##0.0"/>
    <numFmt numFmtId="166" formatCode="#,##0.000"/>
    <numFmt numFmtId="167" formatCode="0.0"/>
    <numFmt numFmtId="168" formatCode="mm/dd/yy"/>
    <numFmt numFmtId="169" formatCode="0.0%"/>
    <numFmt numFmtId="170" formatCode="0.0000000"/>
  </numFmts>
  <fonts count="9" x14ac:knownFonts="1">
    <font>
      <sz val="11"/>
      <color theme="1"/>
      <name val="Calibri"/>
      <family val="2"/>
      <scheme val="minor"/>
    </font>
    <font>
      <sz val="9"/>
      <name val="Arial"/>
    </font>
    <font>
      <b/>
      <sz val="9"/>
      <name val="Arial"/>
    </font>
    <font>
      <b/>
      <sz val="10"/>
      <color rgb="FFFFFFFF"/>
      <name val="Arial"/>
    </font>
    <font>
      <b/>
      <sz val="8"/>
      <color rgb="FF333399"/>
      <name val="Arial"/>
    </font>
    <font>
      <b/>
      <sz val="10"/>
      <color rgb="FF333399"/>
      <name val="Courier New"/>
    </font>
    <font>
      <b/>
      <sz val="10"/>
      <color rgb="FF0000FF"/>
      <name val="Arial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DCE6F1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3">
    <xf numFmtId="0" fontId="0" fillId="0" borderId="0"/>
    <xf numFmtId="9" fontId="8" fillId="0" borderId="0"/>
    <xf numFmtId="0" fontId="8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 shrinkToFit="1"/>
    </xf>
    <xf numFmtId="164" fontId="1" fillId="2" borderId="0" xfId="0" applyNumberFormat="1" applyFont="1" applyFill="1" applyAlignment="1">
      <alignment horizontal="right" vertical="center" shrinkToFit="1"/>
    </xf>
    <xf numFmtId="165" fontId="1" fillId="2" borderId="0" xfId="0" applyNumberFormat="1" applyFont="1" applyFill="1" applyAlignment="1">
      <alignment horizontal="right" vertical="center" shrinkToFit="1"/>
    </xf>
    <xf numFmtId="165" fontId="1" fillId="0" borderId="0" xfId="0" applyNumberFormat="1" applyFont="1" applyAlignment="1">
      <alignment horizontal="right" vertical="center" shrinkToFit="1"/>
    </xf>
    <xf numFmtId="0" fontId="2" fillId="3" borderId="1" xfId="0" applyFont="1" applyFill="1" applyBorder="1" applyAlignment="1">
      <alignment horizontal="left" vertical="center"/>
    </xf>
    <xf numFmtId="3" fontId="1" fillId="2" borderId="0" xfId="0" applyNumberFormat="1" applyFont="1" applyFill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166" fontId="1" fillId="0" borderId="0" xfId="0" applyNumberFormat="1" applyFont="1" applyAlignment="1">
      <alignment horizontal="right" vertical="center" shrinkToFit="1"/>
    </xf>
    <xf numFmtId="166" fontId="1" fillId="2" borderId="0" xfId="0" applyNumberFormat="1" applyFont="1" applyFill="1" applyAlignment="1">
      <alignment horizontal="right" vertical="center" shrinkToFit="1"/>
    </xf>
    <xf numFmtId="0" fontId="3" fillId="0" borderId="0" xfId="0" applyFont="1"/>
    <xf numFmtId="0" fontId="4" fillId="0" borderId="0" xfId="0" applyFont="1" applyAlignment="1">
      <alignment horizontal="right"/>
    </xf>
    <xf numFmtId="17" fontId="5" fillId="0" borderId="0" xfId="0" applyNumberFormat="1" applyFont="1" applyAlignment="1">
      <alignment horizontal="left"/>
    </xf>
    <xf numFmtId="167" fontId="6" fillId="0" borderId="0" xfId="0" applyNumberFormat="1" applyFont="1"/>
    <xf numFmtId="167" fontId="6" fillId="0" borderId="0" xfId="0" applyNumberFormat="1" applyFont="1" applyAlignment="1">
      <alignment horizontal="right"/>
    </xf>
    <xf numFmtId="0" fontId="7" fillId="4" borderId="0" xfId="0" applyFont="1" applyFill="1" applyAlignment="1">
      <alignment horizontal="left"/>
    </xf>
    <xf numFmtId="168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5" borderId="0" xfId="0" applyNumberFormat="1" applyFill="1"/>
    <xf numFmtId="4" fontId="0" fillId="5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10" fontId="1" fillId="2" borderId="0" xfId="1" applyNumberFormat="1" applyFont="1" applyFill="1" applyAlignment="1">
      <alignment horizontal="right" vertical="center" shrinkToFit="1"/>
    </xf>
    <xf numFmtId="0" fontId="0" fillId="0" borderId="0" xfId="0" applyAlignment="1">
      <alignment horizontal="center"/>
    </xf>
    <xf numFmtId="169" fontId="0" fillId="0" borderId="0" xfId="1" applyNumberFormat="1" applyFont="1" applyAlignment="1">
      <alignment horizontal="right"/>
    </xf>
    <xf numFmtId="0" fontId="1" fillId="0" borderId="0" xfId="0" applyFont="1" applyAlignment="1">
      <alignment horizontal="right" vertical="center" shrinkToFit="1"/>
    </xf>
    <xf numFmtId="4" fontId="0" fillId="0" borderId="0" xfId="0" applyNumberFormat="1"/>
    <xf numFmtId="170" fontId="0" fillId="0" borderId="0" xfId="2" applyNumberFormat="1" applyFont="1"/>
    <xf numFmtId="164" fontId="0" fillId="0" borderId="0" xfId="0" applyNumberFormat="1"/>
    <xf numFmtId="167" fontId="0" fillId="0" borderId="0" xfId="0" applyNumberFormat="1"/>
    <xf numFmtId="170" fontId="0" fillId="0" borderId="0" xfId="0" applyNumberFormat="1"/>
    <xf numFmtId="0" fontId="2" fillId="3" borderId="2" xfId="0" applyFont="1" applyFill="1" applyBorder="1" applyAlignment="1">
      <alignment horizontal="left" vertical="center"/>
    </xf>
    <xf numFmtId="9" fontId="8" fillId="0" borderId="0" xfId="1"/>
  </cellXfs>
  <cellStyles count="3">
    <cellStyle name="Normal" xfId="2" xr:uid="{00000000-0005-0000-0000-000002000000}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workbookViewId="0">
      <selection activeCell="B1" sqref="B1:G1"/>
    </sheetView>
  </sheetViews>
  <sheetFormatPr defaultRowHeight="14.4" x14ac:dyDescent="0.3"/>
  <cols>
    <col min="3" max="3" width="12.6640625" bestFit="1" customWidth="1"/>
    <col min="7" max="7" width="13.21875" bestFit="1" customWidth="1"/>
  </cols>
  <sheetData>
    <row r="1" spans="1:7" x14ac:dyDescent="0.3">
      <c r="A1" s="23" t="s">
        <v>0</v>
      </c>
      <c r="B1" s="23" t="s">
        <v>125</v>
      </c>
      <c r="C1" s="23" t="s">
        <v>126</v>
      </c>
      <c r="D1" s="23" t="s">
        <v>127</v>
      </c>
      <c r="E1" s="23" t="s">
        <v>918</v>
      </c>
      <c r="F1" s="23" t="s">
        <v>919</v>
      </c>
      <c r="G1" s="23" t="s">
        <v>920</v>
      </c>
    </row>
    <row r="2" spans="1:7" x14ac:dyDescent="0.3">
      <c r="A2" s="5" t="s">
        <v>8</v>
      </c>
      <c r="B2" s="32">
        <v>2.7851692326807602E-3</v>
      </c>
      <c r="C2" s="32"/>
      <c r="D2" s="32">
        <v>-1.2356575463371501E-2</v>
      </c>
      <c r="E2" s="32">
        <v>2.4464831804281259E-2</v>
      </c>
      <c r="F2" s="32">
        <v>2.2677395757132523E-2</v>
      </c>
      <c r="G2" s="28">
        <v>2.64</v>
      </c>
    </row>
    <row r="3" spans="1:7" x14ac:dyDescent="0.3">
      <c r="A3" s="5" t="s">
        <v>9</v>
      </c>
      <c r="B3" s="32">
        <v>1.7555468249209151E-2</v>
      </c>
      <c r="C3" s="32"/>
      <c r="D3" s="32">
        <v>3.6936936936936893E-2</v>
      </c>
      <c r="E3" s="32">
        <v>1.7543859649122841E-2</v>
      </c>
      <c r="F3" s="32">
        <v>0.14635078333970195</v>
      </c>
      <c r="G3" s="28">
        <v>2.96</v>
      </c>
    </row>
    <row r="4" spans="1:7" x14ac:dyDescent="0.3">
      <c r="A4" s="5" t="s">
        <v>10</v>
      </c>
      <c r="B4" s="32">
        <v>2.0042934401189028E-2</v>
      </c>
      <c r="C4" s="32"/>
      <c r="D4" s="32">
        <v>5.5054151624548818E-2</v>
      </c>
      <c r="E4" s="32">
        <v>1.5681544028950421E-2</v>
      </c>
      <c r="F4" s="32">
        <v>0.18575158522939245</v>
      </c>
      <c r="G4" s="28">
        <v>2.7233333333333332</v>
      </c>
    </row>
    <row r="5" spans="1:7" x14ac:dyDescent="0.3">
      <c r="A5" s="5" t="s">
        <v>11</v>
      </c>
      <c r="B5" s="32">
        <v>3.8612477349210451E-2</v>
      </c>
      <c r="C5" s="32"/>
      <c r="D5" s="32">
        <v>7.5386012715713102E-2</v>
      </c>
      <c r="E5" s="32">
        <v>1.800720288115246E-2</v>
      </c>
      <c r="F5" s="32">
        <v>0.11585154353104384</v>
      </c>
      <c r="G5" s="28">
        <v>2.9</v>
      </c>
    </row>
    <row r="6" spans="1:7" x14ac:dyDescent="0.3">
      <c r="A6" s="5" t="s">
        <v>12</v>
      </c>
      <c r="B6" s="32">
        <v>3.077892041465323E-2</v>
      </c>
      <c r="C6" s="32"/>
      <c r="D6" s="32">
        <v>5.0044682752457499E-2</v>
      </c>
      <c r="E6" s="32">
        <v>2.0298507462686688E-2</v>
      </c>
      <c r="F6" s="32">
        <v>0.20922746781115878</v>
      </c>
      <c r="G6" s="28">
        <v>3.1033333333333331</v>
      </c>
    </row>
    <row r="7" spans="1:7" x14ac:dyDescent="0.3">
      <c r="A7" s="5" t="s">
        <v>13</v>
      </c>
      <c r="B7" s="32">
        <v>2.0046738467791089E-2</v>
      </c>
      <c r="C7" s="32"/>
      <c r="D7" s="32">
        <v>2.432667245873164E-2</v>
      </c>
      <c r="E7" s="32">
        <v>2.0808561236622898E-2</v>
      </c>
      <c r="F7" s="32">
        <v>0.10766666666666694</v>
      </c>
      <c r="G7" s="28">
        <v>2.7233333333333332</v>
      </c>
    </row>
    <row r="8" spans="1:7" x14ac:dyDescent="0.3">
      <c r="A8" s="5" t="s">
        <v>14</v>
      </c>
      <c r="B8" s="32">
        <v>1.6745249610457948E-2</v>
      </c>
      <c r="C8" s="32"/>
      <c r="D8" s="32">
        <v>0</v>
      </c>
      <c r="E8" s="32">
        <v>2.1971496437054649E-2</v>
      </c>
      <c r="F8" s="32">
        <v>3.1456432840512747E-3</v>
      </c>
      <c r="G8" s="28">
        <v>2.8033333333333328</v>
      </c>
    </row>
    <row r="9" spans="1:7" x14ac:dyDescent="0.3">
      <c r="A9" s="5" t="s">
        <v>15</v>
      </c>
      <c r="B9" s="32">
        <v>-1.445605359706453E-3</v>
      </c>
      <c r="C9" s="32"/>
      <c r="D9" s="32">
        <v>-2.2804054054054081E-2</v>
      </c>
      <c r="E9" s="32">
        <v>1.7688679245283018E-2</v>
      </c>
      <c r="F9" s="32">
        <v>-3.512589368977255E-2</v>
      </c>
      <c r="G9" s="28">
        <v>2.79</v>
      </c>
    </row>
    <row r="10" spans="1:7" x14ac:dyDescent="0.3">
      <c r="A10" s="5" t="s">
        <v>16</v>
      </c>
      <c r="B10" s="32">
        <v>7.943265252972528E-3</v>
      </c>
      <c r="C10" s="32">
        <v>7.1595086662396668E-2</v>
      </c>
      <c r="D10" s="32">
        <v>-1.6170212765957499E-2</v>
      </c>
      <c r="E10" s="32">
        <v>1.2873025160912831E-2</v>
      </c>
      <c r="F10" s="32">
        <v>-0.17894114167406097</v>
      </c>
      <c r="G10" s="28">
        <v>2.2907318999999999</v>
      </c>
    </row>
    <row r="11" spans="1:7" x14ac:dyDescent="0.3">
      <c r="A11" s="5" t="s">
        <v>17</v>
      </c>
      <c r="B11" s="32">
        <v>6.3849073142550313E-3</v>
      </c>
      <c r="C11" s="32">
        <v>8.0744748187691895E-2</v>
      </c>
      <c r="D11" s="32">
        <v>-2.5445292620865138E-2</v>
      </c>
      <c r="E11" s="32">
        <v>1.4560279557367668E-2</v>
      </c>
      <c r="F11" s="32">
        <v>-0.13782726452001226</v>
      </c>
      <c r="G11" s="28">
        <v>1.6673629000000001</v>
      </c>
    </row>
    <row r="12" spans="1:7" x14ac:dyDescent="0.3">
      <c r="A12" s="5" t="s">
        <v>18</v>
      </c>
      <c r="B12" s="32">
        <v>1.5981848759565671E-2</v>
      </c>
      <c r="C12" s="32">
        <v>0.32489699314690618</v>
      </c>
      <c r="D12" s="32">
        <v>4.2771599657827203E-3</v>
      </c>
      <c r="E12" s="32">
        <v>1.7431725740848343E-2</v>
      </c>
      <c r="F12" s="32">
        <v>-2.2891188460332029E-2</v>
      </c>
      <c r="G12" s="28">
        <v>1.5993939333333329</v>
      </c>
    </row>
    <row r="13" spans="1:7" x14ac:dyDescent="0.3">
      <c r="A13" s="5" t="s">
        <v>19</v>
      </c>
      <c r="B13" s="32">
        <v>3.4904501842071063E-2</v>
      </c>
      <c r="C13" s="32">
        <v>0.20264488163549171</v>
      </c>
      <c r="D13" s="32">
        <v>3.025064822817632E-2</v>
      </c>
      <c r="E13" s="32">
        <v>2.0278099652375519E-2</v>
      </c>
      <c r="F13" s="32">
        <v>8.6984536082474195E-2</v>
      </c>
      <c r="G13" s="28">
        <v>1.9297979999999999</v>
      </c>
    </row>
    <row r="14" spans="1:7" x14ac:dyDescent="0.3">
      <c r="A14" s="5" t="s">
        <v>20</v>
      </c>
      <c r="B14" s="32">
        <v>4.2573489952894797E-2</v>
      </c>
      <c r="C14" s="32">
        <v>0.1904518376022985</v>
      </c>
      <c r="D14" s="32">
        <v>3.3737024221453339E-2</v>
      </c>
      <c r="E14" s="32">
        <v>2.4263431542460981E-2</v>
      </c>
      <c r="F14" s="32">
        <v>0.29430835734870348</v>
      </c>
      <c r="G14" s="28">
        <v>1.608982766666667</v>
      </c>
    </row>
    <row r="15" spans="1:7" x14ac:dyDescent="0.3">
      <c r="A15" s="5" t="s">
        <v>21</v>
      </c>
      <c r="B15" s="32">
        <v>4.5044242532216762E-2</v>
      </c>
      <c r="C15" s="32">
        <v>0.25189084089660713</v>
      </c>
      <c r="D15" s="32">
        <v>5.9181897302001713E-2</v>
      </c>
      <c r="E15" s="32">
        <v>2.5258323765786361E-2</v>
      </c>
      <c r="F15" s="32">
        <v>0.28446771378708585</v>
      </c>
      <c r="G15" s="28">
        <v>2.3963502000000001</v>
      </c>
    </row>
    <row r="16" spans="1:7" x14ac:dyDescent="0.3">
      <c r="A16" s="5" t="s">
        <v>22</v>
      </c>
      <c r="B16" s="32">
        <v>4.3293011410940808E-2</v>
      </c>
      <c r="C16" s="32">
        <v>0.28827511285521201</v>
      </c>
      <c r="D16" s="32">
        <v>3.5775127768313361E-2</v>
      </c>
      <c r="E16" s="32">
        <v>2.5699600228440891E-2</v>
      </c>
      <c r="F16" s="32">
        <v>0.11970474967907532</v>
      </c>
      <c r="G16" s="28">
        <v>2.5709337666666672</v>
      </c>
    </row>
    <row r="17" spans="1:7" x14ac:dyDescent="0.3">
      <c r="A17" s="5" t="s">
        <v>23</v>
      </c>
      <c r="B17" s="32">
        <v>3.7470454874342772E-2</v>
      </c>
      <c r="C17" s="32">
        <v>2.479961901265797E-2</v>
      </c>
      <c r="D17" s="32">
        <v>4.0268456375838903E-2</v>
      </c>
      <c r="E17" s="32">
        <v>2.7825099375355024E-2</v>
      </c>
      <c r="F17" s="32">
        <v>3.4084173088322164E-2</v>
      </c>
      <c r="G17" s="28">
        <v>2.5574617000000002</v>
      </c>
    </row>
    <row r="18" spans="1:7" x14ac:dyDescent="0.3">
      <c r="A18" s="5" t="s">
        <v>24</v>
      </c>
      <c r="B18" s="32">
        <v>3.3724144504813619E-2</v>
      </c>
      <c r="C18" s="32">
        <v>-0.1408989519020527</v>
      </c>
      <c r="D18" s="32">
        <v>1.9246861924686168E-2</v>
      </c>
      <c r="E18" s="32">
        <v>2.0304568527918711E-2</v>
      </c>
      <c r="F18" s="32">
        <v>-6.2343445588644825E-2</v>
      </c>
      <c r="G18" s="28">
        <v>2.6783879000000002</v>
      </c>
    </row>
    <row r="19" spans="1:7" x14ac:dyDescent="0.3">
      <c r="A19" s="5" t="s">
        <v>25</v>
      </c>
      <c r="B19" s="32">
        <v>2.6291613392053891E-2</v>
      </c>
      <c r="C19" s="32">
        <v>-0.1966376401476653</v>
      </c>
      <c r="D19" s="32">
        <v>-1.150369761709126E-2</v>
      </c>
      <c r="E19" s="32">
        <v>2.8555431131018966E-2</v>
      </c>
      <c r="F19" s="32">
        <v>-0.1461956521739135</v>
      </c>
      <c r="G19" s="28">
        <v>1.690751066666667</v>
      </c>
    </row>
    <row r="20" spans="1:7" x14ac:dyDescent="0.3">
      <c r="A20" s="5" t="s">
        <v>26</v>
      </c>
      <c r="B20" s="32">
        <v>1.296531005022767E-2</v>
      </c>
      <c r="C20" s="32">
        <v>-0.3780154778032519</v>
      </c>
      <c r="D20" s="32">
        <v>-2.2203947368420959E-2</v>
      </c>
      <c r="E20" s="32">
        <v>2.2271714922049036E-2</v>
      </c>
      <c r="F20" s="32">
        <v>-0.10060189165950131</v>
      </c>
      <c r="G20" s="28">
        <v>1.9345026999999999</v>
      </c>
    </row>
    <row r="21" spans="1:7" x14ac:dyDescent="0.3">
      <c r="A21" s="5" t="s">
        <v>27</v>
      </c>
      <c r="B21" s="32">
        <v>1.831893545597437E-3</v>
      </c>
      <c r="C21" s="32">
        <v>-0.25982234307062851</v>
      </c>
      <c r="D21" s="32">
        <v>-5.6451612903225798E-2</v>
      </c>
      <c r="E21" s="32">
        <v>2.2651933701657346E-2</v>
      </c>
      <c r="F21" s="32">
        <v>-0.19776440240756665</v>
      </c>
      <c r="G21" s="28">
        <v>1.3434801000000001</v>
      </c>
    </row>
    <row r="22" spans="1:7" x14ac:dyDescent="0.3">
      <c r="A22" s="5" t="s">
        <v>28</v>
      </c>
      <c r="B22" s="32">
        <v>-5.0992180584242888E-3</v>
      </c>
      <c r="C22" s="32">
        <v>-0.13634927595323629</v>
      </c>
      <c r="D22" s="32">
        <v>-3.2840722495894911E-2</v>
      </c>
      <c r="E22" s="32">
        <v>2.4875621890547265E-2</v>
      </c>
      <c r="F22" s="32">
        <v>-6.3817156426239544E-2</v>
      </c>
      <c r="G22" s="28">
        <v>0.82889089999999999</v>
      </c>
    </row>
    <row r="23" spans="1:7" x14ac:dyDescent="0.3">
      <c r="A23" s="5" t="s">
        <v>29</v>
      </c>
      <c r="B23" s="32">
        <v>-1.1258663172174479E-3</v>
      </c>
      <c r="C23" s="32">
        <v>-0.24293766233487801</v>
      </c>
      <c r="D23" s="32">
        <v>-2.2443890274314239E-2</v>
      </c>
      <c r="E23" s="32">
        <v>2.4496461622210128E-2</v>
      </c>
      <c r="F23" s="32">
        <v>6.6836409929979836E-3</v>
      </c>
      <c r="G23" s="28">
        <v>1.3126804000000001</v>
      </c>
    </row>
    <row r="24" spans="1:7" x14ac:dyDescent="0.3">
      <c r="A24" s="5" t="s">
        <v>30</v>
      </c>
      <c r="B24" s="32">
        <v>4.3467783791798966E-3</v>
      </c>
      <c r="C24" s="32">
        <v>-0.2403905038149132</v>
      </c>
      <c r="D24" s="32">
        <v>-1.345668629100091E-2</v>
      </c>
      <c r="E24" s="32">
        <v>2.614379084967311E-2</v>
      </c>
      <c r="F24" s="32">
        <v>-3.3142128744423488E-2</v>
      </c>
      <c r="G24" s="28">
        <v>1.2906839999999999</v>
      </c>
    </row>
    <row r="25" spans="1:7" x14ac:dyDescent="0.3">
      <c r="A25" s="5" t="s">
        <v>31</v>
      </c>
      <c r="B25" s="32">
        <v>1.182520234647658E-2</v>
      </c>
      <c r="C25" s="32">
        <v>-0.27257638300110781</v>
      </c>
      <c r="D25" s="32">
        <v>8.5470085470085479E-3</v>
      </c>
      <c r="E25" s="32">
        <v>2.8633171258779021E-2</v>
      </c>
      <c r="F25" s="32">
        <v>4.5373347624151496E-2</v>
      </c>
      <c r="G25" s="28">
        <v>0.80881793333333329</v>
      </c>
    </row>
    <row r="26" spans="1:7" x14ac:dyDescent="0.3">
      <c r="A26" s="5" t="s">
        <v>32</v>
      </c>
      <c r="B26" s="32">
        <v>6.3765698132443802E-3</v>
      </c>
      <c r="C26" s="32">
        <v>-0.35263002089431972</v>
      </c>
      <c r="D26" s="32">
        <v>-1.6977928692699729E-3</v>
      </c>
      <c r="E26" s="32">
        <v>2.8586839266451017E-2</v>
      </c>
      <c r="F26" s="32">
        <v>-4.5022194039314775E-2</v>
      </c>
      <c r="G26" s="28">
        <v>0.38307353333333333</v>
      </c>
    </row>
    <row r="27" spans="1:7" x14ac:dyDescent="0.3">
      <c r="A27" s="5" t="s">
        <v>33</v>
      </c>
      <c r="B27" s="32">
        <v>8.4997089773555508E-4</v>
      </c>
      <c r="C27" s="32">
        <v>-0.1434739391553739</v>
      </c>
      <c r="D27" s="32">
        <v>-1.1054421768707461E-2</v>
      </c>
      <c r="E27" s="32">
        <v>2.9224229543039361E-2</v>
      </c>
      <c r="F27" s="32">
        <v>-8.2200442617767613E-2</v>
      </c>
      <c r="G27" s="28">
        <v>0.39524363333333329</v>
      </c>
    </row>
    <row r="28" spans="1:7" x14ac:dyDescent="0.3">
      <c r="A28" s="5" t="s">
        <v>34</v>
      </c>
      <c r="B28" s="32">
        <v>-2.5930881742259192E-3</v>
      </c>
      <c r="C28" s="32">
        <v>0.16295247943608909</v>
      </c>
      <c r="D28" s="32">
        <v>-1.193520886615509E-2</v>
      </c>
      <c r="E28" s="32">
        <v>2.8131634819532896E-2</v>
      </c>
      <c r="F28" s="32">
        <v>-5.2406064601186263E-2</v>
      </c>
      <c r="G28" s="28">
        <v>0.1392634333333333</v>
      </c>
    </row>
    <row r="29" spans="1:7" x14ac:dyDescent="0.3">
      <c r="A29" s="5" t="s">
        <v>35</v>
      </c>
      <c r="B29" s="32">
        <v>1.2384184937160891E-3</v>
      </c>
      <c r="C29" s="32">
        <v>0.14370583501074519</v>
      </c>
      <c r="D29" s="32">
        <v>-1.6949152542373119E-3</v>
      </c>
      <c r="E29" s="32">
        <v>2.6785714285714329E-2</v>
      </c>
      <c r="F29" s="32">
        <v>9.5693779904306615E-3</v>
      </c>
      <c r="G29" s="28">
        <v>8.2982833333333339E-2</v>
      </c>
    </row>
    <row r="30" spans="1:7" x14ac:dyDescent="0.3">
      <c r="A30" s="5" t="s">
        <v>36</v>
      </c>
      <c r="B30" s="32">
        <v>8.7306484440474799E-3</v>
      </c>
      <c r="C30" s="32">
        <v>0.25672551848892672</v>
      </c>
      <c r="D30" s="32">
        <v>-1.700680272108747E-3</v>
      </c>
      <c r="E30" s="32">
        <v>2.254850550603036E-2</v>
      </c>
      <c r="F30" s="32">
        <v>-3.4196547144754355E-2</v>
      </c>
      <c r="G30" s="28">
        <v>0.3629507666666667</v>
      </c>
    </row>
    <row r="31" spans="1:7" x14ac:dyDescent="0.3">
      <c r="A31" s="5" t="s">
        <v>37</v>
      </c>
      <c r="B31" s="32">
        <v>1.416030499118435E-2</v>
      </c>
      <c r="C31" s="32">
        <v>0.1546938264390367</v>
      </c>
      <c r="D31" s="32">
        <v>1.1177987962166789E-2</v>
      </c>
      <c r="E31" s="32">
        <v>2.323180175529169E-2</v>
      </c>
      <c r="F31" s="32">
        <v>4.8225973131243147E-2</v>
      </c>
      <c r="G31" s="28">
        <v>-0.25090370000000001</v>
      </c>
    </row>
    <row r="32" spans="1:7" x14ac:dyDescent="0.3">
      <c r="A32" s="5" t="s">
        <v>38</v>
      </c>
      <c r="B32" s="32">
        <v>1.7477147403871029E-2</v>
      </c>
      <c r="C32" s="32">
        <v>0.134964452668875</v>
      </c>
      <c r="D32" s="32">
        <v>1.7256255392578831E-3</v>
      </c>
      <c r="E32" s="32">
        <v>2.2715539494063016E-2</v>
      </c>
      <c r="F32" s="32">
        <v>5.4260869565217126E-2</v>
      </c>
      <c r="G32" s="28">
        <v>-0.1503636333333333</v>
      </c>
    </row>
    <row r="33" spans="1:7" x14ac:dyDescent="0.3">
      <c r="A33" s="5" t="s">
        <v>39</v>
      </c>
      <c r="B33" s="32">
        <v>9.8309588162536765E-3</v>
      </c>
      <c r="C33" s="32">
        <v>0.1493769791354399</v>
      </c>
      <c r="D33" s="32">
        <v>-1.6129032258064439E-2</v>
      </c>
      <c r="E33" s="32">
        <v>2.1994884910485773E-2</v>
      </c>
      <c r="F33" s="32">
        <v>1.1509817197020912E-2</v>
      </c>
      <c r="G33" s="28">
        <v>-0.13639153333333329</v>
      </c>
    </row>
    <row r="34" spans="1:7" x14ac:dyDescent="0.3">
      <c r="A34" s="5" t="s">
        <v>40</v>
      </c>
      <c r="B34" s="32">
        <v>4.74751440231529E-3</v>
      </c>
      <c r="C34" s="32">
        <v>0.1854313723558044</v>
      </c>
      <c r="D34" s="32">
        <v>-2.044293015332202E-2</v>
      </c>
      <c r="E34" s="32">
        <v>2.051282051282044E-2</v>
      </c>
      <c r="F34" s="32">
        <v>1.0312822275695529E-3</v>
      </c>
      <c r="G34" s="28">
        <v>7.3656366666666667E-2</v>
      </c>
    </row>
    <row r="35" spans="1:7" x14ac:dyDescent="0.3">
      <c r="A35" s="5" t="s">
        <v>41</v>
      </c>
      <c r="B35" s="32">
        <v>9.8848586902107009E-3</v>
      </c>
      <c r="C35" s="32">
        <v>0.16437261338106479</v>
      </c>
      <c r="D35" s="32">
        <v>-1.3605442176870699E-2</v>
      </c>
      <c r="E35" s="32">
        <v>2.2199798183652905E-2</v>
      </c>
      <c r="F35" s="32">
        <v>-5.3894183371672309E-2</v>
      </c>
      <c r="G35" s="28">
        <v>9.1306666666666675E-2</v>
      </c>
    </row>
    <row r="36" spans="1:7" x14ac:dyDescent="0.3">
      <c r="A36" s="5" t="s">
        <v>42</v>
      </c>
      <c r="B36" s="32">
        <v>1.434897656697556E-2</v>
      </c>
      <c r="C36" s="32">
        <v>0.2277806885857569</v>
      </c>
      <c r="D36" s="32">
        <v>1.7226528854436081E-3</v>
      </c>
      <c r="E36" s="32">
        <v>2.1706208985360988E-2</v>
      </c>
      <c r="F36" s="32">
        <v>-1.5836357637742986E-2</v>
      </c>
      <c r="G36" s="28">
        <v>-0.16965223333333329</v>
      </c>
    </row>
    <row r="37" spans="1:7" x14ac:dyDescent="0.3">
      <c r="A37" s="5" t="s">
        <v>43</v>
      </c>
      <c r="B37" s="32">
        <v>1.6712333738590782E-2</v>
      </c>
      <c r="C37" s="32">
        <v>0.15536905802025699</v>
      </c>
      <c r="D37" s="32">
        <v>6.9025021570318992E-3</v>
      </c>
      <c r="E37" s="32">
        <v>2.4024024024024156E-2</v>
      </c>
      <c r="F37" s="32">
        <v>5.7898259705489043E-2</v>
      </c>
      <c r="G37" s="28">
        <v>-2.32201E-2</v>
      </c>
    </row>
    <row r="38" spans="1:7" x14ac:dyDescent="0.3">
      <c r="A38" s="5" t="s">
        <v>44</v>
      </c>
      <c r="B38" s="32">
        <v>2.1671770361014489E-2</v>
      </c>
      <c r="C38" s="32">
        <v>0.1677112276580581</v>
      </c>
      <c r="D38" s="32">
        <v>2.6956521739130389E-2</v>
      </c>
      <c r="E38" s="32">
        <v>2.2110552763819125E-2</v>
      </c>
      <c r="F38" s="32">
        <v>0.11984890109890117</v>
      </c>
      <c r="G38" s="28">
        <v>0.2782135</v>
      </c>
    </row>
    <row r="39" spans="1:7" x14ac:dyDescent="0.3">
      <c r="A39" s="5" t="s">
        <v>45</v>
      </c>
      <c r="B39" s="32">
        <v>1.6592910383863221E-2</v>
      </c>
      <c r="C39" s="32">
        <v>0.1202561528383931</v>
      </c>
      <c r="D39" s="32">
        <v>3.6206896551724162E-2</v>
      </c>
      <c r="E39" s="32">
        <v>2.2704837117472825E-2</v>
      </c>
      <c r="F39" s="32">
        <v>0.16533518582841228</v>
      </c>
      <c r="G39" s="28">
        <v>0.42281986666666671</v>
      </c>
    </row>
    <row r="40" spans="1:7" x14ac:dyDescent="0.3">
      <c r="A40" s="5" t="s">
        <v>46</v>
      </c>
      <c r="B40" s="32">
        <v>1.415496051133556E-2</v>
      </c>
      <c r="C40" s="32">
        <v>0.1064059592030164</v>
      </c>
      <c r="D40" s="32">
        <v>3.6973344797936347E-2</v>
      </c>
      <c r="E40" s="32">
        <v>2.3715415019762761E-2</v>
      </c>
      <c r="F40" s="32">
        <v>0.12336573918873615</v>
      </c>
      <c r="G40" s="28">
        <v>1.054683266666667</v>
      </c>
    </row>
    <row r="41" spans="1:7" x14ac:dyDescent="0.3">
      <c r="A41" s="5" t="s">
        <v>47</v>
      </c>
      <c r="B41" s="32">
        <v>2.342495091915045E-2</v>
      </c>
      <c r="C41" s="32">
        <v>0.16047979561045311</v>
      </c>
      <c r="D41" s="32">
        <v>4.4558697514995742E-2</v>
      </c>
      <c r="E41" s="32">
        <v>1.9550342130987223E-2</v>
      </c>
      <c r="F41" s="32">
        <v>4.8402404302435864E-2</v>
      </c>
      <c r="G41" s="28">
        <v>1.8277974333333331</v>
      </c>
    </row>
    <row r="42" spans="1:7" x14ac:dyDescent="0.3">
      <c r="A42" s="5" t="s">
        <v>48</v>
      </c>
      <c r="B42" s="32">
        <v>1.9033049912839179E-2</v>
      </c>
      <c r="C42" s="32">
        <v>0.1013022705694971</v>
      </c>
      <c r="D42" s="32">
        <v>4.0643522438611447E-2</v>
      </c>
      <c r="E42" s="32">
        <v>2.0157325467060092E-2</v>
      </c>
      <c r="F42" s="32">
        <v>1.5639374425023025E-2</v>
      </c>
      <c r="G42" s="28">
        <v>1.9869908999999999</v>
      </c>
    </row>
    <row r="43" spans="1:7" x14ac:dyDescent="0.3">
      <c r="A43" s="5" t="s">
        <v>49</v>
      </c>
      <c r="B43" s="32">
        <v>1.8281438399886499E-2</v>
      </c>
      <c r="C43" s="32">
        <v>0.1511686454381243</v>
      </c>
      <c r="D43" s="32">
        <v>2.1630615640598951E-2</v>
      </c>
      <c r="E43" s="32">
        <v>1.8822393822393781E-2</v>
      </c>
      <c r="F43" s="32">
        <v>-1.609538002980624E-2</v>
      </c>
      <c r="G43" s="28">
        <v>2.164796233333333</v>
      </c>
    </row>
    <row r="44" spans="1:7" x14ac:dyDescent="0.3">
      <c r="A44" s="5" t="s">
        <v>50</v>
      </c>
      <c r="B44" s="32">
        <v>1.504463891098734E-2</v>
      </c>
      <c r="C44" s="32">
        <v>5.0462893173300383E-2</v>
      </c>
      <c r="D44" s="32">
        <v>3.150912106135996E-2</v>
      </c>
      <c r="E44" s="32">
        <v>1.6409266409266505E-2</v>
      </c>
      <c r="F44" s="32">
        <v>-5.3118472097881009E-2</v>
      </c>
      <c r="G44" s="28">
        <v>2.6338301666666668</v>
      </c>
    </row>
    <row r="45" spans="1:7" x14ac:dyDescent="0.3">
      <c r="A45" s="5" t="s">
        <v>51</v>
      </c>
      <c r="B45" s="32">
        <v>-8.1963639534384002E-4</v>
      </c>
      <c r="C45" s="32">
        <v>-6.9520589271664449E-2</v>
      </c>
      <c r="D45" s="32">
        <v>-8.2034454470884756E-4</v>
      </c>
      <c r="E45" s="32">
        <v>2.588686481303927E-2</v>
      </c>
      <c r="F45" s="32">
        <v>-6.3971031985516194E-2</v>
      </c>
      <c r="G45" s="28">
        <v>1.8247684</v>
      </c>
    </row>
    <row r="46" spans="1:7" x14ac:dyDescent="0.3">
      <c r="A46" s="5" t="s">
        <v>52</v>
      </c>
      <c r="B46" s="32">
        <v>1.107561793045669E-2</v>
      </c>
      <c r="C46" s="32">
        <v>-0.2216250185537196</v>
      </c>
      <c r="D46" s="32">
        <v>9.7640358014645118E-3</v>
      </c>
      <c r="E46" s="32">
        <v>3.2771084337349383E-2</v>
      </c>
      <c r="F46" s="32">
        <v>-9.3297101449275457E-2</v>
      </c>
      <c r="G46" s="28">
        <v>1.1133363666666669</v>
      </c>
    </row>
    <row r="47" spans="1:7" x14ac:dyDescent="0.3">
      <c r="A47" s="5" t="s">
        <v>53</v>
      </c>
      <c r="B47" s="32">
        <v>-7.6619011963008571E-4</v>
      </c>
      <c r="C47" s="32">
        <v>-0.31385004899463859</v>
      </c>
      <c r="D47" s="32">
        <v>1.62866449511403E-3</v>
      </c>
      <c r="E47" s="32">
        <v>3.7423022264329801E-2</v>
      </c>
      <c r="F47" s="32">
        <v>-0.10511966070887584</v>
      </c>
      <c r="G47" s="28">
        <v>1.227134933333333</v>
      </c>
    </row>
    <row r="48" spans="1:7" x14ac:dyDescent="0.3">
      <c r="A48" s="5" t="s">
        <v>54</v>
      </c>
      <c r="B48" s="32">
        <v>-1.5614114532534419E-2</v>
      </c>
      <c r="C48" s="32">
        <v>-0.36459849300962133</v>
      </c>
      <c r="D48" s="32">
        <v>-6.4308681672025719E-2</v>
      </c>
      <c r="E48" s="32">
        <v>4.1310541310541189E-2</v>
      </c>
      <c r="F48" s="32">
        <v>-0.12448786637251841</v>
      </c>
      <c r="G48" s="28">
        <v>1.1484574333333331</v>
      </c>
    </row>
    <row r="49" spans="1:7" x14ac:dyDescent="0.3">
      <c r="A49" s="5" t="s">
        <v>55</v>
      </c>
      <c r="B49" s="32">
        <v>-3.7070974160274293E-2</v>
      </c>
      <c r="C49" s="32">
        <v>-0.49526128122173579</v>
      </c>
      <c r="D49" s="32">
        <v>-0.1108374384236453</v>
      </c>
      <c r="E49" s="32">
        <v>2.8971962616822378E-2</v>
      </c>
      <c r="F49" s="32">
        <v>-0.20083816892327541</v>
      </c>
      <c r="G49" s="28">
        <v>1.914668666666667</v>
      </c>
    </row>
    <row r="50" spans="1:7" x14ac:dyDescent="0.3">
      <c r="A50" s="5" t="s">
        <v>56</v>
      </c>
      <c r="B50" s="32">
        <v>-7.0879192023824922E-2</v>
      </c>
      <c r="C50" s="32">
        <v>-0.50645353470391552</v>
      </c>
      <c r="D50" s="32">
        <v>-0.2240128928283642</v>
      </c>
      <c r="E50" s="32">
        <v>1.3065795613625612E-2</v>
      </c>
      <c r="F50" s="32">
        <v>-0.25407925407925397</v>
      </c>
      <c r="G50" s="28">
        <v>1.0450094333333331</v>
      </c>
    </row>
    <row r="51" spans="1:7" x14ac:dyDescent="0.3">
      <c r="A51" s="5" t="s">
        <v>57</v>
      </c>
      <c r="B51" s="32">
        <v>-6.7180175313246146E-2</v>
      </c>
      <c r="C51" s="32">
        <v>-0.32457156911379098</v>
      </c>
      <c r="D51" s="32">
        <v>-0.2365853658536585</v>
      </c>
      <c r="E51" s="32">
        <v>9.1324200913242663E-3</v>
      </c>
      <c r="F51" s="32">
        <v>-0.1689234935680434</v>
      </c>
      <c r="G51" s="28">
        <v>1.1439697</v>
      </c>
    </row>
    <row r="52" spans="1:7" x14ac:dyDescent="0.3">
      <c r="A52" s="5" t="s">
        <v>58</v>
      </c>
      <c r="B52" s="32">
        <v>-4.9743893700404329E-2</v>
      </c>
      <c r="C52" s="32">
        <v>-0.1023129542023464</v>
      </c>
      <c r="D52" s="32">
        <v>-0.17869415807560149</v>
      </c>
      <c r="E52" s="32">
        <v>9.119927040585102E-4</v>
      </c>
      <c r="F52" s="32">
        <v>-1.9798416126709812E-2</v>
      </c>
      <c r="G52" s="28">
        <v>1.2358412000000001</v>
      </c>
    </row>
    <row r="53" spans="1:7" x14ac:dyDescent="0.3">
      <c r="A53" s="5" t="s">
        <v>59</v>
      </c>
      <c r="B53" s="32">
        <v>-2.391633361427558E-2</v>
      </c>
      <c r="C53" s="32">
        <v>0.19470459975138149</v>
      </c>
      <c r="D53" s="32">
        <v>-9.3259464450600141E-2</v>
      </c>
      <c r="E53" s="32">
        <v>7.7202543142599065E-3</v>
      </c>
      <c r="F53" s="32">
        <v>0.17022993142396142</v>
      </c>
      <c r="G53" s="28">
        <v>0.28857866666666671</v>
      </c>
    </row>
    <row r="54" spans="1:7" x14ac:dyDescent="0.3">
      <c r="A54" s="5" t="s">
        <v>60</v>
      </c>
      <c r="B54" s="32">
        <v>4.4781388780496803E-3</v>
      </c>
      <c r="C54" s="32">
        <v>0.44618885919097728</v>
      </c>
      <c r="D54" s="32">
        <v>3.9460020768431962E-2</v>
      </c>
      <c r="E54" s="32">
        <v>1.2897282358360256E-2</v>
      </c>
      <c r="F54" s="32">
        <v>0.35089285714285756</v>
      </c>
      <c r="G54" s="28">
        <v>-0.43786449999999999</v>
      </c>
    </row>
    <row r="55" spans="1:7" x14ac:dyDescent="0.3">
      <c r="A55" s="5" t="s">
        <v>61</v>
      </c>
      <c r="B55" s="32">
        <v>1.672956209834103E-2</v>
      </c>
      <c r="C55" s="32">
        <v>-2.5686127475032471E-2</v>
      </c>
      <c r="D55" s="32">
        <v>8.7326943556975373E-2</v>
      </c>
      <c r="E55" s="32">
        <v>1.4932126696832502E-2</v>
      </c>
      <c r="F55" s="32">
        <v>0.24765784114052952</v>
      </c>
      <c r="G55" s="28">
        <v>-0.91372843333333331</v>
      </c>
    </row>
    <row r="56" spans="1:7" x14ac:dyDescent="0.3">
      <c r="A56" s="5" t="s">
        <v>62</v>
      </c>
      <c r="B56" s="32">
        <v>1.6012512102480069E-2</v>
      </c>
      <c r="C56" s="32">
        <v>-0.115480896401459</v>
      </c>
      <c r="D56" s="32">
        <v>9.5188284518828548E-2</v>
      </c>
      <c r="E56" s="32">
        <v>1.7312072892938481E-2</v>
      </c>
      <c r="F56" s="32">
        <v>0.11788468600807966</v>
      </c>
      <c r="G56" s="28">
        <v>-0.85839393333333336</v>
      </c>
    </row>
    <row r="57" spans="1:7" x14ac:dyDescent="0.3">
      <c r="A57" s="5" t="s">
        <v>63</v>
      </c>
      <c r="B57" s="32">
        <v>2.1995469063358839E-2</v>
      </c>
      <c r="C57" s="32">
        <v>-0.1322715250389381</v>
      </c>
      <c r="D57" s="32">
        <v>5.8044806517311642E-2</v>
      </c>
      <c r="E57" s="32">
        <v>1.9378098242451413E-2</v>
      </c>
      <c r="F57" s="32">
        <v>5.4463977938642133E-2</v>
      </c>
      <c r="G57" s="28">
        <v>-0.97953069999999998</v>
      </c>
    </row>
    <row r="58" spans="1:7" x14ac:dyDescent="0.3">
      <c r="A58" s="5" t="s">
        <v>64</v>
      </c>
      <c r="B58" s="32">
        <v>2.387250730696662E-2</v>
      </c>
      <c r="C58" s="32">
        <v>-5.3385105827378841E-2</v>
      </c>
      <c r="D58" s="32">
        <v>4.3956043956044008E-2</v>
      </c>
      <c r="E58" s="32">
        <v>2.3192360163710818E-2</v>
      </c>
      <c r="F58" s="32">
        <v>4.6265697290145142E-3</v>
      </c>
      <c r="G58" s="28">
        <v>-1.373496733333333</v>
      </c>
    </row>
    <row r="59" spans="1:7" x14ac:dyDescent="0.3">
      <c r="A59" s="5" t="s">
        <v>65</v>
      </c>
      <c r="B59" s="32">
        <v>1.4570911462879199E-2</v>
      </c>
      <c r="C59" s="32">
        <v>8.3047399249146073E-2</v>
      </c>
      <c r="D59" s="32">
        <v>2.840352595494619E-2</v>
      </c>
      <c r="E59" s="32">
        <v>2.9870708872046379E-2</v>
      </c>
      <c r="F59" s="32">
        <v>-1.7956252040482863E-2</v>
      </c>
      <c r="G59" s="28">
        <v>-1.3217025666666671</v>
      </c>
    </row>
    <row r="60" spans="1:7" x14ac:dyDescent="0.3">
      <c r="A60" s="5" t="s">
        <v>66</v>
      </c>
      <c r="B60" s="32">
        <v>7.2570004398182231E-3</v>
      </c>
      <c r="C60" s="32">
        <v>-0.27241755908288212</v>
      </c>
      <c r="D60" s="32">
        <v>-1.910219675262655E-2</v>
      </c>
      <c r="E60" s="32">
        <v>2.6421854008060928E-2</v>
      </c>
      <c r="F60" s="32">
        <v>-8.4428383705650673E-2</v>
      </c>
      <c r="G60" s="28">
        <v>-1.1379465</v>
      </c>
    </row>
    <row r="61" spans="1:7" x14ac:dyDescent="0.3">
      <c r="A61" s="5" t="s">
        <v>67</v>
      </c>
      <c r="B61" s="32">
        <v>-1.1092638521708231E-2</v>
      </c>
      <c r="C61" s="32">
        <v>-0.2519940971452847</v>
      </c>
      <c r="D61" s="32">
        <v>-2.0211742059672841E-2</v>
      </c>
      <c r="E61" s="32">
        <v>3.7135278514589011E-2</v>
      </c>
      <c r="F61" s="32">
        <v>-0.13795357960117705</v>
      </c>
      <c r="G61" s="28">
        <v>-1.437788633333333</v>
      </c>
    </row>
    <row r="62" spans="1:7" x14ac:dyDescent="0.3">
      <c r="A62" s="5" t="s">
        <v>68</v>
      </c>
      <c r="B62" s="32">
        <v>-2.6911298409170972E-2</v>
      </c>
      <c r="C62" s="32">
        <v>-0.27256749319571361</v>
      </c>
      <c r="D62" s="32">
        <v>-5.2631578947368418E-2</v>
      </c>
      <c r="E62" s="32">
        <v>3.6000000000000039E-2</v>
      </c>
      <c r="F62" s="32">
        <v>-0.1710526315789471</v>
      </c>
      <c r="G62" s="28">
        <v>-1.6570108333333331</v>
      </c>
    </row>
    <row r="63" spans="1:7" x14ac:dyDescent="0.3">
      <c r="A63" s="5" t="s">
        <v>69</v>
      </c>
      <c r="B63" s="32">
        <v>-3.2725725100287088E-2</v>
      </c>
      <c r="C63" s="32">
        <v>-0.30426587915673792</v>
      </c>
      <c r="D63" s="32">
        <v>-6.380952380952383E-2</v>
      </c>
      <c r="E63" s="32">
        <v>3.5930735930735917E-2</v>
      </c>
      <c r="F63" s="32">
        <v>-0.21210106382978744</v>
      </c>
      <c r="G63" s="28">
        <v>-1.770639333333333</v>
      </c>
    </row>
    <row r="64" spans="1:7" x14ac:dyDescent="0.3">
      <c r="A64" s="5" t="s">
        <v>70</v>
      </c>
      <c r="B64" s="32">
        <v>-3.4731824466923793E-2</v>
      </c>
      <c r="C64" s="32">
        <v>4.6289749553966537E-2</v>
      </c>
      <c r="D64" s="32">
        <v>-4.5764362220058447E-2</v>
      </c>
      <c r="E64" s="32">
        <v>3.4467713787085415E-2</v>
      </c>
      <c r="F64" s="32">
        <v>-0.15572299964119127</v>
      </c>
      <c r="G64" s="28">
        <v>-2.1747543999999999</v>
      </c>
    </row>
    <row r="65" spans="1:7" x14ac:dyDescent="0.3">
      <c r="A65" s="5" t="s">
        <v>71</v>
      </c>
      <c r="B65" s="32">
        <v>-3.2677396832396302E-2</v>
      </c>
      <c r="C65" s="32">
        <v>7.8440052645042224E-2</v>
      </c>
      <c r="D65" s="32">
        <v>-6.5815324165029498E-2</v>
      </c>
      <c r="E65" s="32">
        <v>2.6427962489343513E-2</v>
      </c>
      <c r="F65" s="32">
        <v>-9.4425483503981764E-2</v>
      </c>
      <c r="G65" s="28">
        <v>-2.1048711</v>
      </c>
    </row>
    <row r="66" spans="1:7" x14ac:dyDescent="0.3">
      <c r="A66" s="5" t="s">
        <v>72</v>
      </c>
      <c r="B66" s="32">
        <v>-3.0589130878776079E-2</v>
      </c>
      <c r="C66" s="32">
        <v>-4.013436737135697E-2</v>
      </c>
      <c r="D66" s="32">
        <v>-4.5454545454545463E-2</v>
      </c>
      <c r="E66" s="32">
        <v>2.0163020163020115E-2</v>
      </c>
      <c r="F66" s="32">
        <v>-5.0396825396825405E-2</v>
      </c>
      <c r="G66" s="28">
        <v>-1.6552302999999999</v>
      </c>
    </row>
    <row r="67" spans="1:7" x14ac:dyDescent="0.3">
      <c r="A67" s="5" t="s">
        <v>73</v>
      </c>
      <c r="B67" s="32">
        <v>-2.2664507250582819E-2</v>
      </c>
      <c r="C67" s="32">
        <v>8.3030250640833803E-2</v>
      </c>
      <c r="D67" s="32">
        <v>-3.8657171922685633E-2</v>
      </c>
      <c r="E67" s="32">
        <v>1.2536564981195153E-2</v>
      </c>
      <c r="F67" s="32">
        <v>2.1097046413501991E-2</v>
      </c>
      <c r="G67" s="28">
        <v>-1.193205966666667</v>
      </c>
    </row>
    <row r="68" spans="1:7" x14ac:dyDescent="0.3">
      <c r="A68" s="5" t="s">
        <v>74</v>
      </c>
      <c r="B68" s="32">
        <v>-1.2845160682310799E-2</v>
      </c>
      <c r="C68" s="32">
        <v>0.15808435966334039</v>
      </c>
      <c r="D68" s="32">
        <v>-3.6734693877550961E-2</v>
      </c>
      <c r="E68" s="32">
        <v>1.0965837199493981E-2</v>
      </c>
      <c r="F68" s="32">
        <v>0.13344666383340417</v>
      </c>
      <c r="G68" s="28">
        <v>-1.1098211666666671</v>
      </c>
    </row>
    <row r="69" spans="1:7" x14ac:dyDescent="0.3">
      <c r="A69" s="5" t="s">
        <v>75</v>
      </c>
      <c r="B69" s="32">
        <v>-6.6669832375706173E-3</v>
      </c>
      <c r="C69" s="32">
        <v>0.16556669242898539</v>
      </c>
      <c r="D69" s="32">
        <v>-3.154574132492084E-3</v>
      </c>
      <c r="E69" s="32">
        <v>6.6445182724252259E-3</v>
      </c>
      <c r="F69" s="32">
        <v>0.16164154103852585</v>
      </c>
      <c r="G69" s="28">
        <v>-0.55909763333333329</v>
      </c>
    </row>
    <row r="70" spans="1:7" x14ac:dyDescent="0.3">
      <c r="A70" s="5" t="s">
        <v>76</v>
      </c>
      <c r="B70" s="32">
        <v>2.0493569424360398E-3</v>
      </c>
      <c r="C70" s="32">
        <v>0.42876373639651799</v>
      </c>
      <c r="D70" s="32">
        <v>2.116402116402146E-3</v>
      </c>
      <c r="E70" s="32">
        <v>4.2052144659378825E-3</v>
      </c>
      <c r="F70" s="32">
        <v>0.19765984120351024</v>
      </c>
      <c r="G70" s="28">
        <v>-0.37150706666666672</v>
      </c>
    </row>
    <row r="71" spans="1:7" x14ac:dyDescent="0.3">
      <c r="A71" s="5" t="s">
        <v>77</v>
      </c>
      <c r="B71" s="32">
        <v>2.5479415314470142E-3</v>
      </c>
      <c r="C71" s="32">
        <v>0.39482706251530131</v>
      </c>
      <c r="D71" s="32">
        <v>0</v>
      </c>
      <c r="E71" s="32">
        <v>3.714403631861294E-3</v>
      </c>
      <c r="F71" s="32">
        <v>0.20206611570247951</v>
      </c>
      <c r="G71" s="28">
        <v>-0.26808333333333328</v>
      </c>
    </row>
    <row r="72" spans="1:7" x14ac:dyDescent="0.3">
      <c r="A72" s="5" t="s">
        <v>78</v>
      </c>
      <c r="B72" s="32">
        <v>-7.1601095974111752E-4</v>
      </c>
      <c r="C72" s="32">
        <v>0.15181876269406169</v>
      </c>
      <c r="D72" s="32">
        <v>-1.271186440677969E-2</v>
      </c>
      <c r="E72" s="32">
        <v>-8.3437630371310497E-4</v>
      </c>
      <c r="F72" s="32">
        <v>4.9868766404199356E-2</v>
      </c>
      <c r="G72" s="28">
        <v>-0.20209806666666669</v>
      </c>
    </row>
    <row r="73" spans="1:7" x14ac:dyDescent="0.3">
      <c r="A73" s="5" t="s">
        <v>79</v>
      </c>
      <c r="B73" s="32">
        <v>-8.5091736540684971E-4</v>
      </c>
      <c r="C73" s="32">
        <v>2.3331791606397479E-3</v>
      </c>
      <c r="D73" s="32">
        <v>-1.476793248945139E-2</v>
      </c>
      <c r="E73" s="32">
        <v>8.2508250825077825E-4</v>
      </c>
      <c r="F73" s="32">
        <v>-4.6863734679164068E-3</v>
      </c>
      <c r="G73" s="28">
        <v>-8.5195499999999993E-2</v>
      </c>
    </row>
    <row r="74" spans="1:7" x14ac:dyDescent="0.3">
      <c r="A74" s="5" t="s">
        <v>80</v>
      </c>
      <c r="B74" s="32">
        <v>2.7332587899118032E-3</v>
      </c>
      <c r="C74" s="32">
        <v>6.5870799157418211E-2</v>
      </c>
      <c r="D74" s="32">
        <v>-4.2238648363252971E-3</v>
      </c>
      <c r="E74" s="32">
        <v>-8.3752093802358146E-4</v>
      </c>
      <c r="F74" s="32">
        <v>3.1053733426378249E-2</v>
      </c>
      <c r="G74" s="28">
        <v>0.37934950000000001</v>
      </c>
    </row>
    <row r="75" spans="1:7" x14ac:dyDescent="0.3">
      <c r="A75" s="5" t="s">
        <v>81</v>
      </c>
      <c r="B75" s="32">
        <v>6.7836123213329677E-3</v>
      </c>
      <c r="C75" s="32">
        <v>6.4006625833844324E-2</v>
      </c>
      <c r="D75" s="32">
        <v>9.5238095238095836E-3</v>
      </c>
      <c r="E75" s="32">
        <v>1.644736842105345E-3</v>
      </c>
      <c r="F75" s="32">
        <v>5.6033001031282267E-2</v>
      </c>
      <c r="G75" s="28">
        <v>-0.43985916666666669</v>
      </c>
    </row>
    <row r="76" spans="1:7" x14ac:dyDescent="0.3">
      <c r="A76" s="5" t="s">
        <v>82</v>
      </c>
      <c r="B76" s="32">
        <v>7.0314888413329658E-3</v>
      </c>
      <c r="C76" s="32">
        <v>2.1082605354444131E-2</v>
      </c>
      <c r="D76" s="32">
        <v>2.1459227467811159E-2</v>
      </c>
      <c r="E76" s="32">
        <v>2.9227557411273608E-3</v>
      </c>
      <c r="F76" s="32">
        <v>0.11500000000000048</v>
      </c>
      <c r="G76" s="28">
        <v>-0.39448376666666668</v>
      </c>
    </row>
    <row r="77" spans="1:7" x14ac:dyDescent="0.3">
      <c r="A77" s="5" t="s">
        <v>83</v>
      </c>
      <c r="B77" s="32">
        <v>1.327221924519636E-2</v>
      </c>
      <c r="C77" s="32">
        <v>0.1265730462105161</v>
      </c>
      <c r="D77" s="32">
        <v>1.820128479657375E-2</v>
      </c>
      <c r="E77" s="32">
        <v>2.4732069249794254E-3</v>
      </c>
      <c r="F77" s="32">
        <v>0.15755161173487836</v>
      </c>
      <c r="G77" s="28">
        <v>-0.35584270000000001</v>
      </c>
    </row>
    <row r="78" spans="1:7" x14ac:dyDescent="0.3">
      <c r="A78" s="5" t="s">
        <v>84</v>
      </c>
      <c r="B78" s="32">
        <v>1.130352734862702E-2</v>
      </c>
      <c r="C78" s="32">
        <v>-0.23897246478732981</v>
      </c>
      <c r="D78" s="32">
        <v>1.908801696712616E-2</v>
      </c>
      <c r="E78" s="32">
        <v>-4.1911148365462834E-4</v>
      </c>
      <c r="F78" s="32">
        <v>4.9407783417936064E-2</v>
      </c>
      <c r="G78" s="28">
        <v>-0.25274839999999998</v>
      </c>
    </row>
    <row r="79" spans="1:7" x14ac:dyDescent="0.3">
      <c r="A79" s="5" t="s">
        <v>85</v>
      </c>
      <c r="B79" s="32">
        <v>1.023971757739108E-2</v>
      </c>
      <c r="C79" s="32">
        <v>-0.2897471989733974</v>
      </c>
      <c r="D79" s="32">
        <v>5.2410901467505244E-3</v>
      </c>
      <c r="E79" s="32">
        <v>-3.694581280788142E-3</v>
      </c>
      <c r="F79" s="32">
        <v>2.604166666666699E-2</v>
      </c>
      <c r="G79" s="28">
        <v>-0.12476046666666669</v>
      </c>
    </row>
    <row r="80" spans="1:7" x14ac:dyDescent="0.3">
      <c r="A80" s="5" t="s">
        <v>86</v>
      </c>
      <c r="B80" s="32">
        <v>1.682035519125679E-2</v>
      </c>
      <c r="C80" s="32">
        <v>-0.2242771073871308</v>
      </c>
      <c r="D80" s="32">
        <v>1.8907563025210058E-2</v>
      </c>
      <c r="E80" s="32">
        <v>-4.163197335553469E-4</v>
      </c>
      <c r="F80" s="32">
        <v>-1.729660474055103E-2</v>
      </c>
      <c r="G80" s="28">
        <v>-0.56479253333333335</v>
      </c>
    </row>
    <row r="81" spans="1:7" x14ac:dyDescent="0.3">
      <c r="A81" s="5" t="s">
        <v>87</v>
      </c>
      <c r="B81" s="32">
        <v>1.579926528222406E-2</v>
      </c>
      <c r="C81" s="32">
        <v>-0.1019586365060058</v>
      </c>
      <c r="D81" s="32">
        <v>3.8906414300736103E-2</v>
      </c>
      <c r="E81" s="32">
        <v>2.0559210526316374E-3</v>
      </c>
      <c r="F81" s="32">
        <v>-4.255319148936143E-2</v>
      </c>
      <c r="G81" s="28">
        <v>-1.0458145666666669</v>
      </c>
    </row>
    <row r="82" spans="1:7" x14ac:dyDescent="0.3">
      <c r="A82" s="5" t="s">
        <v>88</v>
      </c>
      <c r="B82" s="32">
        <v>1.8612935754742849E-2</v>
      </c>
      <c r="C82" s="32">
        <v>0.15278865599956609</v>
      </c>
      <c r="D82" s="32">
        <v>2.081165452653486E-2</v>
      </c>
      <c r="E82" s="32">
        <v>1.3836477987421313E-2</v>
      </c>
      <c r="F82" s="32">
        <v>1.9671073847145781E-2</v>
      </c>
      <c r="G82" s="28">
        <v>-2.061164433333333</v>
      </c>
    </row>
    <row r="83" spans="1:7" x14ac:dyDescent="0.3">
      <c r="A83" s="5" t="s">
        <v>89</v>
      </c>
      <c r="B83" s="32">
        <v>1.967065277634256E-2</v>
      </c>
      <c r="C83" s="32">
        <v>0.2631629660841393</v>
      </c>
      <c r="D83" s="32">
        <v>3.8581856100104152E-2</v>
      </c>
      <c r="E83" s="32">
        <v>1.6069221260815787E-2</v>
      </c>
      <c r="F83" s="32">
        <v>1.7449238578679881E-2</v>
      </c>
      <c r="G83" s="28">
        <v>-1.863281133333333</v>
      </c>
    </row>
    <row r="84" spans="1:7" x14ac:dyDescent="0.3">
      <c r="A84" s="5" t="s">
        <v>90</v>
      </c>
      <c r="B84" s="32">
        <v>1.351918716936769E-2</v>
      </c>
      <c r="C84" s="32">
        <v>0.38383757179698458</v>
      </c>
      <c r="D84" s="32">
        <v>4.8453608247422709E-2</v>
      </c>
      <c r="E84" s="32">
        <v>1.2911286963765074E-2</v>
      </c>
      <c r="F84" s="32">
        <v>6.0951760104302193E-2</v>
      </c>
      <c r="G84" s="28">
        <v>-1.796298866666667</v>
      </c>
    </row>
    <row r="85" spans="1:7" x14ac:dyDescent="0.3">
      <c r="A85" s="5" t="s">
        <v>91</v>
      </c>
      <c r="B85" s="32">
        <v>1.591610576029158E-2</v>
      </c>
      <c r="C85" s="32">
        <v>0.1361485263580324</v>
      </c>
      <c r="D85" s="32">
        <v>4.1497975708502111E-2</v>
      </c>
      <c r="E85" s="32">
        <v>1.0258514567090626E-2</v>
      </c>
      <c r="F85" s="32">
        <v>9.3464052287581409E-2</v>
      </c>
      <c r="G85" s="28">
        <v>-1.7288133999999999</v>
      </c>
    </row>
    <row r="86" spans="1:7" x14ac:dyDescent="0.3">
      <c r="A86" s="5" t="s">
        <v>92</v>
      </c>
      <c r="B86" s="32">
        <v>9.5758854224491739E-3</v>
      </c>
      <c r="C86" s="32">
        <v>9.3603633079377926E-2</v>
      </c>
      <c r="D86" s="32">
        <v>3.5677879714576963E-2</v>
      </c>
      <c r="E86" s="32">
        <v>8.6848635235732361E-3</v>
      </c>
      <c r="F86" s="32">
        <v>3.7318153067678314E-2</v>
      </c>
      <c r="G86" s="28">
        <v>-1.5949530999999999</v>
      </c>
    </row>
    <row r="87" spans="1:7" x14ac:dyDescent="0.3">
      <c r="A87" s="5" t="s">
        <v>93</v>
      </c>
      <c r="B87" s="32">
        <v>8.0702368559242062E-3</v>
      </c>
      <c r="C87" s="32">
        <v>5.0623430345221473E-2</v>
      </c>
      <c r="D87" s="32">
        <v>2.0080321285140559E-2</v>
      </c>
      <c r="E87" s="32">
        <v>9.7323600973235665E-3</v>
      </c>
      <c r="F87" s="32">
        <v>1.4343623323978379E-2</v>
      </c>
      <c r="G87" s="28">
        <v>-2.0585749666666668</v>
      </c>
    </row>
    <row r="88" spans="1:7" x14ac:dyDescent="0.3">
      <c r="A88" s="5" t="s">
        <v>94</v>
      </c>
      <c r="B88" s="32">
        <v>6.4070698702015831E-3</v>
      </c>
      <c r="C88" s="32">
        <v>-9.1923797147193897E-2</v>
      </c>
      <c r="D88" s="32">
        <v>0</v>
      </c>
      <c r="E88" s="32">
        <v>1.6858552631579041E-2</v>
      </c>
      <c r="F88" s="32">
        <v>-1.1367127496159502E-2</v>
      </c>
      <c r="G88" s="28">
        <v>-2.4528591</v>
      </c>
    </row>
    <row r="89" spans="1:7" x14ac:dyDescent="0.3">
      <c r="A89" s="5" t="s">
        <v>95</v>
      </c>
      <c r="B89" s="32">
        <v>3.2486547823859218E-3</v>
      </c>
      <c r="C89" s="32">
        <v>-0.1614998357185293</v>
      </c>
      <c r="D89" s="32">
        <v>-2.0408163265306201E-2</v>
      </c>
      <c r="E89" s="32">
        <v>1.4216084484159279E-2</v>
      </c>
      <c r="F89" s="32">
        <v>-6.2462641960549306E-2</v>
      </c>
      <c r="G89" s="28">
        <v>-2.2153179999999999</v>
      </c>
    </row>
    <row r="90" spans="1:7" x14ac:dyDescent="0.3">
      <c r="A90" s="5" t="s">
        <v>96</v>
      </c>
      <c r="B90" s="32">
        <v>6.9465445980992817E-3</v>
      </c>
      <c r="C90" s="32">
        <v>-3.9752434313208809E-2</v>
      </c>
      <c r="D90" s="32">
        <v>-4.921259842519685E-3</v>
      </c>
      <c r="E90" s="32">
        <v>1.0660106601066104E-2</v>
      </c>
      <c r="F90" s="32">
        <v>-7.3780487804877518E-2</v>
      </c>
      <c r="G90" s="28">
        <v>-1.741880166666667</v>
      </c>
    </row>
    <row r="91" spans="1:7" x14ac:dyDescent="0.3">
      <c r="A91" s="5" t="s">
        <v>97</v>
      </c>
      <c r="B91" s="32">
        <v>8.1244345338730966E-3</v>
      </c>
      <c r="C91" s="32">
        <v>-1.7212007703607469E-2</v>
      </c>
      <c r="D91" s="32">
        <v>-9.8425196850393699E-3</v>
      </c>
      <c r="E91" s="32">
        <v>9.2369477911646465E-3</v>
      </c>
      <c r="F91" s="32">
        <v>-6.0559483553642122E-2</v>
      </c>
      <c r="G91" s="28">
        <v>-1.7170711999999999</v>
      </c>
    </row>
    <row r="92" spans="1:7" x14ac:dyDescent="0.3">
      <c r="A92" s="5" t="s">
        <v>98</v>
      </c>
      <c r="B92" s="32">
        <v>3.5490185317308348E-3</v>
      </c>
      <c r="C92" s="32">
        <v>6.392927826080326E-2</v>
      </c>
      <c r="D92" s="32">
        <v>-1.081612586037373E-2</v>
      </c>
      <c r="E92" s="32">
        <v>3.2349373230893537E-3</v>
      </c>
      <c r="F92" s="32">
        <v>-5.8421379738968542E-2</v>
      </c>
      <c r="G92" s="28">
        <v>-1.330040933333333</v>
      </c>
    </row>
    <row r="93" spans="1:7" x14ac:dyDescent="0.3">
      <c r="A93" s="5" t="s">
        <v>99</v>
      </c>
      <c r="B93" s="32">
        <v>-1.869909058569185E-3</v>
      </c>
      <c r="C93" s="32">
        <v>0.28281650855662782</v>
      </c>
      <c r="D93" s="32">
        <v>-2.083333333333328E-2</v>
      </c>
      <c r="E93" s="32">
        <v>3.2038446135362322E-3</v>
      </c>
      <c r="F93" s="32">
        <v>-4.0484539368824388E-2</v>
      </c>
      <c r="G93" s="28">
        <v>-1.4029517666666671</v>
      </c>
    </row>
    <row r="94" spans="1:7" x14ac:dyDescent="0.3">
      <c r="A94" s="5" t="s">
        <v>100</v>
      </c>
      <c r="B94" s="32">
        <v>-6.0831657216705942E-2</v>
      </c>
      <c r="C94" s="32">
        <v>-0.23119055776576011</v>
      </c>
      <c r="D94" s="32">
        <v>-0.1127596439169139</v>
      </c>
      <c r="E94" s="32">
        <v>2.0283975659228055E-3</v>
      </c>
      <c r="F94" s="32">
        <v>-7.5707702435813345E-2</v>
      </c>
      <c r="G94" s="28">
        <v>-1.5055409333333329</v>
      </c>
    </row>
    <row r="95" spans="1:7" x14ac:dyDescent="0.3">
      <c r="A95" s="5" t="s">
        <v>101</v>
      </c>
      <c r="B95" s="32">
        <v>-0.18134019870911591</v>
      </c>
      <c r="C95" s="32">
        <v>-9.0484504250294598E-2</v>
      </c>
      <c r="D95" s="32">
        <v>-0.25944333996023861</v>
      </c>
      <c r="E95" s="32">
        <v>-1.989653800238815E-3</v>
      </c>
      <c r="F95" s="32">
        <v>-0.38547120418848185</v>
      </c>
      <c r="G95" s="28">
        <v>-0.53400000000000003</v>
      </c>
    </row>
    <row r="96" spans="1:7" x14ac:dyDescent="0.3">
      <c r="A96" s="5" t="s">
        <v>102</v>
      </c>
      <c r="B96" s="32">
        <v>-6.0211094299724689E-2</v>
      </c>
      <c r="C96" s="32">
        <v>-0.13070623226882719</v>
      </c>
      <c r="D96" s="32">
        <v>-4.3737574552683817E-2</v>
      </c>
      <c r="E96" s="32">
        <v>-2.8214429665457592E-3</v>
      </c>
      <c r="F96" s="32">
        <v>-0.16534653465346538</v>
      </c>
      <c r="G96" s="28">
        <v>-0.43840276666666672</v>
      </c>
    </row>
    <row r="97" spans="1:7" x14ac:dyDescent="0.3">
      <c r="A97" s="5" t="s">
        <v>103</v>
      </c>
      <c r="B97" s="32">
        <v>-5.5151426534827158E-2</v>
      </c>
      <c r="C97" s="32">
        <v>-5.4175432605237717E-2</v>
      </c>
      <c r="D97" s="32">
        <v>-2.431610942249246E-2</v>
      </c>
      <c r="E97" s="32">
        <v>-3.9920159680639855E-3</v>
      </c>
      <c r="F97" s="32">
        <v>-0.10299003322259107</v>
      </c>
      <c r="G97" s="28">
        <v>-0.2226948</v>
      </c>
    </row>
    <row r="98" spans="1:7" x14ac:dyDescent="0.3">
      <c r="A98" s="5" t="s">
        <v>104</v>
      </c>
      <c r="B98" s="32">
        <v>1.845086391518801E-2</v>
      </c>
      <c r="C98" s="32">
        <v>0.493504838534784</v>
      </c>
      <c r="D98" s="32">
        <v>9.3645484949832672E-2</v>
      </c>
      <c r="E98" s="32">
        <v>7.2874493927126546E-3</v>
      </c>
      <c r="F98" s="32">
        <v>5.8048433048433094E-2</v>
      </c>
      <c r="G98" s="28">
        <v>-1.575779</v>
      </c>
    </row>
    <row r="99" spans="1:7" x14ac:dyDescent="0.3">
      <c r="A99" s="5" t="s">
        <v>105</v>
      </c>
      <c r="B99" s="32">
        <v>0.19318332816583239</v>
      </c>
      <c r="C99" s="32">
        <v>0.30806580048209481</v>
      </c>
      <c r="D99" s="32">
        <v>0.33288590604026841</v>
      </c>
      <c r="E99" s="32">
        <v>1.1164274322169106E-2</v>
      </c>
      <c r="F99" s="32">
        <v>0.79552715654952078</v>
      </c>
      <c r="G99" s="28">
        <v>-2.3737181000000001</v>
      </c>
    </row>
    <row r="100" spans="1:7" x14ac:dyDescent="0.3">
      <c r="A100" s="5" t="s">
        <v>106</v>
      </c>
      <c r="B100" s="32">
        <v>6.9635721767467046E-2</v>
      </c>
      <c r="C100" s="32">
        <v>0.34382456845147907</v>
      </c>
      <c r="D100" s="32">
        <v>4.1580041580041582E-2</v>
      </c>
      <c r="E100" s="32">
        <v>2.1422797089733214E-2</v>
      </c>
      <c r="F100" s="32">
        <v>0.41083432186634994</v>
      </c>
      <c r="G100" s="28">
        <v>-3.4124848666666669</v>
      </c>
    </row>
    <row r="101" spans="1:7" x14ac:dyDescent="0.3">
      <c r="A101" s="5" t="s">
        <v>107</v>
      </c>
      <c r="B101" s="32">
        <v>8.3982164791906372E-2</v>
      </c>
      <c r="C101" s="32">
        <v>0.23001658218925891</v>
      </c>
      <c r="D101" s="32">
        <v>4.8805815160955383E-2</v>
      </c>
      <c r="E101" s="32">
        <v>3.8076152304609277E-2</v>
      </c>
      <c r="F101" s="32">
        <v>0.3262962962962967</v>
      </c>
      <c r="G101" s="28">
        <v>-5.2330432</v>
      </c>
    </row>
    <row r="102" spans="1:7" x14ac:dyDescent="0.3">
      <c r="A102" s="5" t="s">
        <v>108</v>
      </c>
      <c r="B102" s="32">
        <v>7.4350362046490454E-2</v>
      </c>
      <c r="C102" s="32">
        <v>1.8344845788302259E-2</v>
      </c>
      <c r="D102" s="32">
        <v>1.427115188583084E-2</v>
      </c>
      <c r="E102" s="32">
        <v>6.028938906752411E-2</v>
      </c>
      <c r="F102" s="32">
        <v>0.10063951531470887</v>
      </c>
      <c r="G102" s="28">
        <v>-6.6623592333333326</v>
      </c>
    </row>
    <row r="103" spans="1:7" x14ac:dyDescent="0.3">
      <c r="A103" s="5" t="s">
        <v>109</v>
      </c>
      <c r="B103" s="32">
        <v>6.3969783024296081E-2</v>
      </c>
      <c r="C103" s="32">
        <v>-0.1554773665494259</v>
      </c>
      <c r="D103" s="32">
        <v>2.014098690835851E-2</v>
      </c>
      <c r="E103" s="32">
        <v>7.4132492113564666E-2</v>
      </c>
      <c r="F103" s="32">
        <v>-6.7022538552787392E-2</v>
      </c>
      <c r="G103" s="28">
        <v>-8.390949766666667</v>
      </c>
    </row>
    <row r="104" spans="1:7" x14ac:dyDescent="0.3">
      <c r="A104" s="5" t="s">
        <v>110</v>
      </c>
      <c r="B104" s="32">
        <v>4.0856666183084291E-2</v>
      </c>
      <c r="C104" s="32">
        <v>-0.19388631601195699</v>
      </c>
      <c r="D104" s="32">
        <v>3.9920159680637869E-3</v>
      </c>
      <c r="E104" s="32">
        <v>8.9829837752275377E-2</v>
      </c>
      <c r="F104" s="32">
        <v>-0.17040358744394588</v>
      </c>
      <c r="G104" s="28">
        <v>-8.8192594333333343</v>
      </c>
    </row>
    <row r="105" spans="1:7" x14ac:dyDescent="0.3">
      <c r="A105" s="5" t="s">
        <v>111</v>
      </c>
      <c r="B105" s="32">
        <v>2.1735638952834799E-2</v>
      </c>
      <c r="C105" s="32">
        <v>-0.1331003878374096</v>
      </c>
      <c r="D105" s="32">
        <v>-2.1782178217821808E-2</v>
      </c>
      <c r="E105" s="32">
        <v>0.12432432432432435</v>
      </c>
      <c r="F105" s="32">
        <v>-0.17285674392627781</v>
      </c>
      <c r="G105" s="28">
        <v>-8.1945432666666669</v>
      </c>
    </row>
    <row r="106" spans="1:7" x14ac:dyDescent="0.3">
      <c r="A106" s="5" t="s">
        <v>112</v>
      </c>
      <c r="B106" s="32">
        <v>2.0653435006332359E-2</v>
      </c>
      <c r="C106" s="32">
        <v>7.7519905950588733E-2</v>
      </c>
      <c r="D106" s="32">
        <v>-6.0301507537687867E-3</v>
      </c>
      <c r="E106" s="32">
        <v>9.5147839272175808E-2</v>
      </c>
      <c r="F106" s="32">
        <v>-5.8715596330275281E-2</v>
      </c>
      <c r="G106" s="28">
        <v>-5.3680737333333326</v>
      </c>
    </row>
    <row r="107" spans="1:7" x14ac:dyDescent="0.3">
      <c r="A107" s="5" t="s">
        <v>113</v>
      </c>
      <c r="B107" s="32">
        <v>5.233455738048046E-3</v>
      </c>
      <c r="C107" s="32">
        <v>0.32199910486625438</v>
      </c>
      <c r="D107" s="32">
        <v>-3.4550839091806507E-2</v>
      </c>
      <c r="E107" s="32">
        <v>7.7826725403817881E-2</v>
      </c>
      <c r="F107" s="32">
        <v>-2.5111252383980254E-2</v>
      </c>
      <c r="G107" s="28">
        <v>-2.8435671999999999</v>
      </c>
    </row>
    <row r="108" spans="1:7" x14ac:dyDescent="0.3">
      <c r="A108" s="5" t="s">
        <v>114</v>
      </c>
      <c r="B108" s="32">
        <v>4.6256773002073797E-3</v>
      </c>
      <c r="C108" s="32">
        <v>0.36778822182255799</v>
      </c>
      <c r="D108" s="32">
        <v>-2.7833001988071541E-2</v>
      </c>
      <c r="E108" s="32">
        <v>5.8097312999273731E-2</v>
      </c>
      <c r="F108" s="32">
        <v>7.4324324324324415E-3</v>
      </c>
      <c r="G108" s="28">
        <v>-1.1559462</v>
      </c>
    </row>
    <row r="109" spans="1:7" x14ac:dyDescent="0.3">
      <c r="A109" s="5" t="s">
        <v>115</v>
      </c>
      <c r="B109" s="32">
        <v>1.0435769801763981E-2</v>
      </c>
      <c r="C109" s="32">
        <v>0.28028293131420667</v>
      </c>
      <c r="D109" s="32">
        <v>-1.6194331983805609E-2</v>
      </c>
      <c r="E109" s="32">
        <v>9.9587912087912289E-3</v>
      </c>
      <c r="F109" s="32">
        <v>-8.7778528021606357E-3</v>
      </c>
      <c r="G109" s="28">
        <v>1.2241226666666669</v>
      </c>
    </row>
    <row r="110" spans="1:7" x14ac:dyDescent="0.3">
      <c r="A110" s="5" t="s">
        <v>116</v>
      </c>
      <c r="B110" s="32">
        <v>5.27580850897672E-3</v>
      </c>
      <c r="C110" s="32">
        <v>0.28164083733989048</v>
      </c>
      <c r="D110" s="32">
        <v>-3.5389282103134467E-2</v>
      </c>
      <c r="E110" s="32">
        <v>1.0038075458636227E-2</v>
      </c>
      <c r="F110" s="32">
        <v>-2.3716699155295271E-2</v>
      </c>
      <c r="G110" s="28">
        <v>1.323614733333333</v>
      </c>
    </row>
    <row r="111" spans="1:7" x14ac:dyDescent="0.3">
      <c r="A111" s="5" t="s">
        <v>117</v>
      </c>
      <c r="B111" s="32">
        <v>7.2626619348009347E-3</v>
      </c>
      <c r="C111" s="32">
        <v>0.19431640820183649</v>
      </c>
      <c r="D111" s="32">
        <v>-3.4764826175869033E-2</v>
      </c>
      <c r="E111" s="32">
        <v>8.5149863760218963E-3</v>
      </c>
      <c r="F111" s="32">
        <v>-2.0215194000651516E-2</v>
      </c>
      <c r="G111" s="28">
        <v>1.308171933333333</v>
      </c>
    </row>
    <row r="112" spans="1:7" x14ac:dyDescent="0.3">
      <c r="A112" s="5" t="s">
        <v>118</v>
      </c>
      <c r="B112" s="32">
        <v>6.5293735096466519E-3</v>
      </c>
      <c r="C112" s="32">
        <v>0.19572194431682891</v>
      </c>
      <c r="D112" s="32">
        <v>-4.4989775051124663E-2</v>
      </c>
      <c r="E112" s="32">
        <v>1.2010981468771498E-2</v>
      </c>
      <c r="F112" s="32">
        <v>2.0120724346076742E-3</v>
      </c>
      <c r="G112" s="28">
        <v>1.3887104333333331</v>
      </c>
    </row>
    <row r="113" spans="1:7" x14ac:dyDescent="0.3">
      <c r="A113" s="5" t="s">
        <v>119</v>
      </c>
      <c r="B113" s="32">
        <v>4.3904757789204928E-3</v>
      </c>
      <c r="C113" s="32">
        <v>0.126338200694977</v>
      </c>
      <c r="D113" s="32">
        <v>-4.3209876543209902E-2</v>
      </c>
      <c r="E113" s="32">
        <v>1.2580754845290728E-2</v>
      </c>
      <c r="F113" s="32">
        <v>9.5367847411443069E-3</v>
      </c>
      <c r="G113" s="28">
        <v>0.79648716666666663</v>
      </c>
    </row>
    <row r="114" spans="1:7" x14ac:dyDescent="0.3">
      <c r="A114" s="5" t="s">
        <v>120</v>
      </c>
      <c r="B114" s="32">
        <v>6.560150538191342E-3</v>
      </c>
      <c r="C114" s="32">
        <v>0.1095537722064587</v>
      </c>
      <c r="D114" s="32">
        <v>-1.9916142557652051E-2</v>
      </c>
      <c r="E114" s="32">
        <v>1.8163125428375591E-2</v>
      </c>
      <c r="F114" s="32">
        <v>-1.1647254575707483E-2</v>
      </c>
      <c r="G114" s="28">
        <v>0.22350300000000001</v>
      </c>
    </row>
    <row r="115" spans="1:7" x14ac:dyDescent="0.3">
      <c r="A115" s="5" t="s">
        <v>121</v>
      </c>
      <c r="B115" s="32">
        <v>4.6604183177698629E-3</v>
      </c>
      <c r="C115" s="32">
        <v>0.1733497394342306</v>
      </c>
      <c r="D115" s="32">
        <v>-6.3559322033899203E-3</v>
      </c>
      <c r="E115" s="32">
        <v>1.8237082066869272E-2</v>
      </c>
      <c r="F115" s="32">
        <v>-2.229617304492541E-2</v>
      </c>
      <c r="G115" s="28">
        <v>7.4357833333333331E-2</v>
      </c>
    </row>
    <row r="116" spans="1:7" x14ac:dyDescent="0.3">
      <c r="A116" s="5" t="s">
        <v>122</v>
      </c>
      <c r="B116" s="32">
        <v>6.9436068850255639E-3</v>
      </c>
      <c r="C116" s="32">
        <v>0.27563524706679948</v>
      </c>
      <c r="D116" s="32">
        <v>3.2119914346894771E-3</v>
      </c>
      <c r="E116" s="32">
        <v>1.6954899966090248E-2</v>
      </c>
      <c r="F116" s="32">
        <v>-4.0160642570281693E-3</v>
      </c>
      <c r="G116" s="28">
        <v>-5.509476666666667E-2</v>
      </c>
    </row>
    <row r="117" spans="1:7" x14ac:dyDescent="0.3">
      <c r="A117" s="5" t="s">
        <v>123</v>
      </c>
      <c r="B117" s="32">
        <v>8.3811621763486346E-3</v>
      </c>
      <c r="C117" s="32">
        <v>0.3146989183746689</v>
      </c>
      <c r="D117" s="32">
        <v>1.1827956989247251E-2</v>
      </c>
      <c r="E117" s="32">
        <v>1.2088650100739066E-2</v>
      </c>
      <c r="F117" s="32">
        <v>2.5303643724696356E-2</v>
      </c>
      <c r="G117" s="28">
        <v>8.1700000000000019E-3</v>
      </c>
    </row>
    <row r="118" spans="1:7" x14ac:dyDescent="0.3">
      <c r="A118" s="31" t="s">
        <v>124</v>
      </c>
      <c r="E118">
        <v>1.3463480309660431E-2</v>
      </c>
      <c r="F118">
        <v>2.7946127946128222E-2</v>
      </c>
      <c r="G118" s="28">
        <v>-0.13964499999999999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82B4-1A67-4032-9B74-9F0AC120D8F0}">
  <dimension ref="A1:G118"/>
  <sheetViews>
    <sheetView tabSelected="1" workbookViewId="0">
      <selection activeCell="I5" sqref="I5"/>
    </sheetView>
  </sheetViews>
  <sheetFormatPr defaultRowHeight="14.4" x14ac:dyDescent="0.3"/>
  <sheetData>
    <row r="1" spans="1:7" x14ac:dyDescent="0.3">
      <c r="A1" t="s">
        <v>0</v>
      </c>
      <c r="B1" s="23" t="s">
        <v>125</v>
      </c>
      <c r="C1" s="23" t="s">
        <v>126</v>
      </c>
      <c r="D1" s="23" t="s">
        <v>127</v>
      </c>
      <c r="E1" s="23" t="s">
        <v>918</v>
      </c>
      <c r="F1" s="23" t="s">
        <v>919</v>
      </c>
      <c r="G1" s="23" t="s">
        <v>920</v>
      </c>
    </row>
    <row r="2" spans="1:7" x14ac:dyDescent="0.3">
      <c r="A2" t="s">
        <v>8</v>
      </c>
      <c r="B2">
        <f>100*db!B2</f>
        <v>0.27851692326807603</v>
      </c>
      <c r="C2">
        <f>100*db!C2</f>
        <v>0</v>
      </c>
      <c r="D2">
        <f>100*db!D2</f>
        <v>-1.23565754633715</v>
      </c>
      <c r="E2">
        <f>100*db!E2</f>
        <v>2.446483180428126</v>
      </c>
      <c r="F2">
        <f>100*db!F2</f>
        <v>2.2677395757132524</v>
      </c>
      <c r="G2">
        <f>db!G2</f>
        <v>2.64</v>
      </c>
    </row>
    <row r="3" spans="1:7" x14ac:dyDescent="0.3">
      <c r="A3" t="s">
        <v>9</v>
      </c>
      <c r="B3">
        <f>100*db!B3</f>
        <v>1.7555468249209152</v>
      </c>
      <c r="C3">
        <f>100*db!C3</f>
        <v>0</v>
      </c>
      <c r="D3">
        <f>100*db!D3</f>
        <v>3.6936936936936893</v>
      </c>
      <c r="E3">
        <f>100*db!E3</f>
        <v>1.7543859649122842</v>
      </c>
      <c r="F3">
        <f>100*db!F3</f>
        <v>14.635078333970194</v>
      </c>
      <c r="G3">
        <f>db!G3</f>
        <v>2.96</v>
      </c>
    </row>
    <row r="4" spans="1:7" x14ac:dyDescent="0.3">
      <c r="A4" t="s">
        <v>10</v>
      </c>
      <c r="B4">
        <f>100*db!B4</f>
        <v>2.0042934401189028</v>
      </c>
      <c r="C4">
        <f>100*db!C4</f>
        <v>0</v>
      </c>
      <c r="D4">
        <f>100*db!D4</f>
        <v>5.5054151624548817</v>
      </c>
      <c r="E4">
        <f>100*db!E4</f>
        <v>1.568154402895042</v>
      </c>
      <c r="F4">
        <f>100*db!F4</f>
        <v>18.575158522939244</v>
      </c>
      <c r="G4">
        <f>db!G4</f>
        <v>2.7233333333333332</v>
      </c>
    </row>
    <row r="5" spans="1:7" x14ac:dyDescent="0.3">
      <c r="A5" t="s">
        <v>11</v>
      </c>
      <c r="B5">
        <f>100*db!B5</f>
        <v>3.861247734921045</v>
      </c>
      <c r="C5">
        <f>100*db!C5</f>
        <v>0</v>
      </c>
      <c r="D5">
        <f>100*db!D5</f>
        <v>7.5386012715713102</v>
      </c>
      <c r="E5">
        <f>100*db!E5</f>
        <v>1.800720288115246</v>
      </c>
      <c r="F5">
        <f>100*db!F5</f>
        <v>11.585154353104384</v>
      </c>
      <c r="G5">
        <f>db!G5</f>
        <v>2.9</v>
      </c>
    </row>
    <row r="6" spans="1:7" x14ac:dyDescent="0.3">
      <c r="A6" t="s">
        <v>12</v>
      </c>
      <c r="B6">
        <f>100*db!B6</f>
        <v>3.077892041465323</v>
      </c>
      <c r="C6">
        <f>100*db!C6</f>
        <v>0</v>
      </c>
      <c r="D6">
        <f>100*db!D6</f>
        <v>5.0044682752457499</v>
      </c>
      <c r="E6">
        <f>100*db!E6</f>
        <v>2.0298507462686688</v>
      </c>
      <c r="F6">
        <f>100*db!F6</f>
        <v>20.92274678111588</v>
      </c>
      <c r="G6">
        <f>db!G6</f>
        <v>3.1033333333333331</v>
      </c>
    </row>
    <row r="7" spans="1:7" x14ac:dyDescent="0.3">
      <c r="A7" t="s">
        <v>13</v>
      </c>
      <c r="B7">
        <f>100*db!B7</f>
        <v>2.004673846779109</v>
      </c>
      <c r="C7">
        <f>100*db!C7</f>
        <v>0</v>
      </c>
      <c r="D7">
        <f>100*db!D7</f>
        <v>2.432667245873164</v>
      </c>
      <c r="E7">
        <f>100*db!E7</f>
        <v>2.08085612366229</v>
      </c>
      <c r="F7">
        <f>100*db!F7</f>
        <v>10.766666666666694</v>
      </c>
      <c r="G7">
        <f>db!G7</f>
        <v>2.7233333333333332</v>
      </c>
    </row>
    <row r="8" spans="1:7" x14ac:dyDescent="0.3">
      <c r="A8" t="s">
        <v>14</v>
      </c>
      <c r="B8">
        <f>100*db!B8</f>
        <v>1.6745249610457948</v>
      </c>
      <c r="C8">
        <f>100*db!C8</f>
        <v>0</v>
      </c>
      <c r="D8">
        <f>100*db!D8</f>
        <v>0</v>
      </c>
      <c r="E8">
        <f>100*db!E8</f>
        <v>2.1971496437054649</v>
      </c>
      <c r="F8">
        <f>100*db!F8</f>
        <v>0.31456432840512749</v>
      </c>
      <c r="G8">
        <f>db!G8</f>
        <v>2.8033333333333328</v>
      </c>
    </row>
    <row r="9" spans="1:7" x14ac:dyDescent="0.3">
      <c r="A9" t="s">
        <v>15</v>
      </c>
      <c r="B9">
        <f>100*db!B9</f>
        <v>-0.1445605359706453</v>
      </c>
      <c r="C9">
        <f>100*db!C9</f>
        <v>0</v>
      </c>
      <c r="D9">
        <f>100*db!D9</f>
        <v>-2.2804054054054079</v>
      </c>
      <c r="E9">
        <f>100*db!E9</f>
        <v>1.7688679245283019</v>
      </c>
      <c r="F9">
        <f>100*db!F9</f>
        <v>-3.5125893689772552</v>
      </c>
      <c r="G9">
        <f>db!G9</f>
        <v>2.79</v>
      </c>
    </row>
    <row r="10" spans="1:7" x14ac:dyDescent="0.3">
      <c r="A10" t="s">
        <v>16</v>
      </c>
      <c r="B10">
        <f>100*db!B10</f>
        <v>0.79432652529725278</v>
      </c>
      <c r="C10">
        <f>100*db!C10</f>
        <v>7.1595086662396668</v>
      </c>
      <c r="D10">
        <f>100*db!D10</f>
        <v>-1.6170212765957499</v>
      </c>
      <c r="E10">
        <f>100*db!E10</f>
        <v>1.2873025160912832</v>
      </c>
      <c r="F10">
        <f>100*db!F10</f>
        <v>-17.894114167406098</v>
      </c>
      <c r="G10">
        <f>db!G10</f>
        <v>2.2907318999999999</v>
      </c>
    </row>
    <row r="11" spans="1:7" x14ac:dyDescent="0.3">
      <c r="A11" t="s">
        <v>17</v>
      </c>
      <c r="B11">
        <f>100*db!B11</f>
        <v>0.63849073142550317</v>
      </c>
      <c r="C11">
        <f>100*db!C11</f>
        <v>8.0744748187691897</v>
      </c>
      <c r="D11">
        <f>100*db!D11</f>
        <v>-2.5445292620865136</v>
      </c>
      <c r="E11">
        <f>100*db!E11</f>
        <v>1.4560279557367668</v>
      </c>
      <c r="F11">
        <f>100*db!F11</f>
        <v>-13.782726452001226</v>
      </c>
      <c r="G11">
        <f>db!G11</f>
        <v>1.6673629000000001</v>
      </c>
    </row>
    <row r="12" spans="1:7" x14ac:dyDescent="0.3">
      <c r="A12" t="s">
        <v>18</v>
      </c>
      <c r="B12">
        <f>100*db!B12</f>
        <v>1.5981848759565671</v>
      </c>
      <c r="C12">
        <f>100*db!C12</f>
        <v>32.489699314690618</v>
      </c>
      <c r="D12">
        <f>100*db!D12</f>
        <v>0.42771599657827203</v>
      </c>
      <c r="E12">
        <f>100*db!E12</f>
        <v>1.7431725740848343</v>
      </c>
      <c r="F12">
        <f>100*db!F12</f>
        <v>-2.2891188460332028</v>
      </c>
      <c r="G12">
        <f>db!G12</f>
        <v>1.5993939333333329</v>
      </c>
    </row>
    <row r="13" spans="1:7" x14ac:dyDescent="0.3">
      <c r="A13" t="s">
        <v>19</v>
      </c>
      <c r="B13">
        <f>100*db!B13</f>
        <v>3.4904501842071065</v>
      </c>
      <c r="C13">
        <f>100*db!C13</f>
        <v>20.264488163549171</v>
      </c>
      <c r="D13">
        <f>100*db!D13</f>
        <v>3.0250648228176318</v>
      </c>
      <c r="E13">
        <f>100*db!E13</f>
        <v>2.0278099652375521</v>
      </c>
      <c r="F13">
        <f>100*db!F13</f>
        <v>8.6984536082474193</v>
      </c>
      <c r="G13">
        <f>db!G13</f>
        <v>1.9297979999999999</v>
      </c>
    </row>
    <row r="14" spans="1:7" x14ac:dyDescent="0.3">
      <c r="A14" t="s">
        <v>20</v>
      </c>
      <c r="B14">
        <f>100*db!B14</f>
        <v>4.2573489952894796</v>
      </c>
      <c r="C14">
        <f>100*db!C14</f>
        <v>19.04518376022985</v>
      </c>
      <c r="D14">
        <f>100*db!D14</f>
        <v>3.373702422145334</v>
      </c>
      <c r="E14">
        <f>100*db!E14</f>
        <v>2.4263431542460983</v>
      </c>
      <c r="F14">
        <f>100*db!F14</f>
        <v>29.430835734870346</v>
      </c>
      <c r="G14">
        <f>db!G14</f>
        <v>1.608982766666667</v>
      </c>
    </row>
    <row r="15" spans="1:7" x14ac:dyDescent="0.3">
      <c r="A15" t="s">
        <v>21</v>
      </c>
      <c r="B15">
        <f>100*db!B15</f>
        <v>4.5044242532216758</v>
      </c>
      <c r="C15">
        <f>100*db!C15</f>
        <v>25.189084089660714</v>
      </c>
      <c r="D15">
        <f>100*db!D15</f>
        <v>5.9181897302001714</v>
      </c>
      <c r="E15">
        <f>100*db!E15</f>
        <v>2.5258323765786361</v>
      </c>
      <c r="F15">
        <f>100*db!F15</f>
        <v>28.446771378708586</v>
      </c>
      <c r="G15">
        <f>db!G15</f>
        <v>2.3963502000000001</v>
      </c>
    </row>
    <row r="16" spans="1:7" x14ac:dyDescent="0.3">
      <c r="A16" t="s">
        <v>22</v>
      </c>
      <c r="B16">
        <f>100*db!B16</f>
        <v>4.3293011410940805</v>
      </c>
      <c r="C16">
        <f>100*db!C16</f>
        <v>28.827511285521201</v>
      </c>
      <c r="D16">
        <f>100*db!D16</f>
        <v>3.5775127768313362</v>
      </c>
      <c r="E16">
        <f>100*db!E16</f>
        <v>2.5699600228440889</v>
      </c>
      <c r="F16">
        <f>100*db!F16</f>
        <v>11.970474967907533</v>
      </c>
      <c r="G16">
        <f>db!G16</f>
        <v>2.5709337666666672</v>
      </c>
    </row>
    <row r="17" spans="1:7" x14ac:dyDescent="0.3">
      <c r="A17" t="s">
        <v>23</v>
      </c>
      <c r="B17">
        <f>100*db!B17</f>
        <v>3.7470454874342773</v>
      </c>
      <c r="C17">
        <f>100*db!C17</f>
        <v>2.479961901265797</v>
      </c>
      <c r="D17">
        <f>100*db!D17</f>
        <v>4.0268456375838904</v>
      </c>
      <c r="E17">
        <f>100*db!E17</f>
        <v>2.7825099375355022</v>
      </c>
      <c r="F17">
        <f>100*db!F17</f>
        <v>3.4084173088322163</v>
      </c>
      <c r="G17">
        <f>db!G17</f>
        <v>2.5574617000000002</v>
      </c>
    </row>
    <row r="18" spans="1:7" x14ac:dyDescent="0.3">
      <c r="A18" t="s">
        <v>24</v>
      </c>
      <c r="B18">
        <f>100*db!B18</f>
        <v>3.372414450481362</v>
      </c>
      <c r="C18">
        <f>100*db!C18</f>
        <v>-14.08989519020527</v>
      </c>
      <c r="D18">
        <f>100*db!D18</f>
        <v>1.9246861924686169</v>
      </c>
      <c r="E18">
        <f>100*db!E18</f>
        <v>2.0304568527918709</v>
      </c>
      <c r="F18">
        <f>100*db!F18</f>
        <v>-6.2343445588644828</v>
      </c>
      <c r="G18">
        <f>db!G18</f>
        <v>2.6783879000000002</v>
      </c>
    </row>
    <row r="19" spans="1:7" x14ac:dyDescent="0.3">
      <c r="A19" t="s">
        <v>25</v>
      </c>
      <c r="B19">
        <f>100*db!B19</f>
        <v>2.629161339205389</v>
      </c>
      <c r="C19">
        <f>100*db!C19</f>
        <v>-19.663764014766532</v>
      </c>
      <c r="D19">
        <f>100*db!D19</f>
        <v>-1.150369761709126</v>
      </c>
      <c r="E19">
        <f>100*db!E19</f>
        <v>2.8555431131018967</v>
      </c>
      <c r="F19">
        <f>100*db!F19</f>
        <v>-14.619565217391351</v>
      </c>
      <c r="G19">
        <f>db!G19</f>
        <v>1.690751066666667</v>
      </c>
    </row>
    <row r="20" spans="1:7" x14ac:dyDescent="0.3">
      <c r="A20" t="s">
        <v>26</v>
      </c>
      <c r="B20">
        <f>100*db!B20</f>
        <v>1.296531005022767</v>
      </c>
      <c r="C20">
        <f>100*db!C20</f>
        <v>-37.801547780325187</v>
      </c>
      <c r="D20">
        <f>100*db!D20</f>
        <v>-2.220394736842096</v>
      </c>
      <c r="E20">
        <f>100*db!E20</f>
        <v>2.2271714922049037</v>
      </c>
      <c r="F20">
        <f>100*db!F20</f>
        <v>-10.060189165950131</v>
      </c>
      <c r="G20">
        <f>db!G20</f>
        <v>1.9345026999999999</v>
      </c>
    </row>
    <row r="21" spans="1:7" x14ac:dyDescent="0.3">
      <c r="A21" t="s">
        <v>27</v>
      </c>
      <c r="B21">
        <f>100*db!B21</f>
        <v>0.18318935455974369</v>
      </c>
      <c r="C21">
        <f>100*db!C21</f>
        <v>-25.98223430706285</v>
      </c>
      <c r="D21">
        <f>100*db!D21</f>
        <v>-5.6451612903225801</v>
      </c>
      <c r="E21">
        <f>100*db!E21</f>
        <v>2.2651933701657345</v>
      </c>
      <c r="F21">
        <f>100*db!F21</f>
        <v>-19.776440240756664</v>
      </c>
      <c r="G21">
        <f>db!G21</f>
        <v>1.3434801000000001</v>
      </c>
    </row>
    <row r="22" spans="1:7" x14ac:dyDescent="0.3">
      <c r="A22" t="s">
        <v>28</v>
      </c>
      <c r="B22">
        <f>100*db!B22</f>
        <v>-0.50992180584242885</v>
      </c>
      <c r="C22">
        <f>100*db!C22</f>
        <v>-13.634927595323628</v>
      </c>
      <c r="D22">
        <f>100*db!D22</f>
        <v>-3.284072249589491</v>
      </c>
      <c r="E22">
        <f>100*db!E22</f>
        <v>2.4875621890547266</v>
      </c>
      <c r="F22">
        <f>100*db!F22</f>
        <v>-6.3817156426239547</v>
      </c>
      <c r="G22">
        <f>db!G22</f>
        <v>0.82889089999999999</v>
      </c>
    </row>
    <row r="23" spans="1:7" x14ac:dyDescent="0.3">
      <c r="A23" t="s">
        <v>29</v>
      </c>
      <c r="B23">
        <f>100*db!B23</f>
        <v>-0.1125866317217448</v>
      </c>
      <c r="C23">
        <f>100*db!C23</f>
        <v>-24.293766233487801</v>
      </c>
      <c r="D23">
        <f>100*db!D23</f>
        <v>-2.2443890274314238</v>
      </c>
      <c r="E23">
        <f>100*db!E23</f>
        <v>2.4496461622210126</v>
      </c>
      <c r="F23">
        <f>100*db!F23</f>
        <v>0.66836409929979834</v>
      </c>
      <c r="G23">
        <f>db!G23</f>
        <v>1.3126804000000001</v>
      </c>
    </row>
    <row r="24" spans="1:7" x14ac:dyDescent="0.3">
      <c r="A24" t="s">
        <v>30</v>
      </c>
      <c r="B24">
        <f>100*db!B24</f>
        <v>0.43467783791798964</v>
      </c>
      <c r="C24">
        <f>100*db!C24</f>
        <v>-24.039050381491318</v>
      </c>
      <c r="D24">
        <f>100*db!D24</f>
        <v>-1.345668629100091</v>
      </c>
      <c r="E24">
        <f>100*db!E24</f>
        <v>2.614379084967311</v>
      </c>
      <c r="F24">
        <f>100*db!F24</f>
        <v>-3.3142128744423487</v>
      </c>
      <c r="G24">
        <f>db!G24</f>
        <v>1.2906839999999999</v>
      </c>
    </row>
    <row r="25" spans="1:7" x14ac:dyDescent="0.3">
      <c r="A25" t="s">
        <v>31</v>
      </c>
      <c r="B25">
        <f>100*db!B25</f>
        <v>1.182520234647658</v>
      </c>
      <c r="C25">
        <f>100*db!C25</f>
        <v>-27.257638300110781</v>
      </c>
      <c r="D25">
        <f>100*db!D25</f>
        <v>0.85470085470085477</v>
      </c>
      <c r="E25">
        <f>100*db!E25</f>
        <v>2.8633171258779022</v>
      </c>
      <c r="F25">
        <f>100*db!F25</f>
        <v>4.5373347624151492</v>
      </c>
      <c r="G25">
        <f>db!G25</f>
        <v>0.80881793333333329</v>
      </c>
    </row>
    <row r="26" spans="1:7" x14ac:dyDescent="0.3">
      <c r="A26" t="s">
        <v>32</v>
      </c>
      <c r="B26">
        <f>100*db!B26</f>
        <v>0.63765698132443804</v>
      </c>
      <c r="C26">
        <f>100*db!C26</f>
        <v>-35.263002089431971</v>
      </c>
      <c r="D26">
        <f>100*db!D26</f>
        <v>-0.16977928692699729</v>
      </c>
      <c r="E26">
        <f>100*db!E26</f>
        <v>2.8586839266451016</v>
      </c>
      <c r="F26">
        <f>100*db!F26</f>
        <v>-4.5022194039314778</v>
      </c>
      <c r="G26">
        <f>db!G26</f>
        <v>0.38307353333333333</v>
      </c>
    </row>
    <row r="27" spans="1:7" x14ac:dyDescent="0.3">
      <c r="A27" t="s">
        <v>33</v>
      </c>
      <c r="B27">
        <f>100*db!B27</f>
        <v>8.4997089773555509E-2</v>
      </c>
      <c r="C27">
        <f>100*db!C27</f>
        <v>-14.34739391553739</v>
      </c>
      <c r="D27">
        <f>100*db!D27</f>
        <v>-1.1054421768707461</v>
      </c>
      <c r="E27">
        <f>100*db!E27</f>
        <v>2.9224229543039359</v>
      </c>
      <c r="F27">
        <f>100*db!F27</f>
        <v>-8.2200442617767617</v>
      </c>
      <c r="G27">
        <f>db!G27</f>
        <v>0.39524363333333329</v>
      </c>
    </row>
    <row r="28" spans="1:7" x14ac:dyDescent="0.3">
      <c r="A28" t="s">
        <v>34</v>
      </c>
      <c r="B28">
        <f>100*db!B28</f>
        <v>-0.25930881742259193</v>
      </c>
      <c r="C28">
        <f>100*db!C28</f>
        <v>16.29524794360891</v>
      </c>
      <c r="D28">
        <f>100*db!D28</f>
        <v>-1.1935208866155089</v>
      </c>
      <c r="E28">
        <f>100*db!E28</f>
        <v>2.8131634819532896</v>
      </c>
      <c r="F28">
        <f>100*db!F28</f>
        <v>-5.2406064601186264</v>
      </c>
      <c r="G28">
        <f>db!G28</f>
        <v>0.1392634333333333</v>
      </c>
    </row>
    <row r="29" spans="1:7" x14ac:dyDescent="0.3">
      <c r="A29" t="s">
        <v>35</v>
      </c>
      <c r="B29">
        <f>100*db!B29</f>
        <v>0.12384184937160891</v>
      </c>
      <c r="C29">
        <f>100*db!C29</f>
        <v>14.370583501074519</v>
      </c>
      <c r="D29">
        <f>100*db!D29</f>
        <v>-0.16949152542373119</v>
      </c>
      <c r="E29">
        <f>100*db!E29</f>
        <v>2.6785714285714328</v>
      </c>
      <c r="F29">
        <f>100*db!F29</f>
        <v>0.9569377990430662</v>
      </c>
      <c r="G29">
        <f>db!G29</f>
        <v>8.2982833333333339E-2</v>
      </c>
    </row>
    <row r="30" spans="1:7" x14ac:dyDescent="0.3">
      <c r="A30" t="s">
        <v>36</v>
      </c>
      <c r="B30">
        <f>100*db!B30</f>
        <v>0.87306484440474796</v>
      </c>
      <c r="C30">
        <f>100*db!C30</f>
        <v>25.67255184889267</v>
      </c>
      <c r="D30">
        <f>100*db!D30</f>
        <v>-0.17006802721087469</v>
      </c>
      <c r="E30">
        <f>100*db!E30</f>
        <v>2.2548505506030359</v>
      </c>
      <c r="F30">
        <f>100*db!F30</f>
        <v>-3.4196547144754357</v>
      </c>
      <c r="G30">
        <f>db!G30</f>
        <v>0.3629507666666667</v>
      </c>
    </row>
    <row r="31" spans="1:7" x14ac:dyDescent="0.3">
      <c r="A31" t="s">
        <v>37</v>
      </c>
      <c r="B31">
        <f>100*db!B31</f>
        <v>1.4160304991184349</v>
      </c>
      <c r="C31">
        <f>100*db!C31</f>
        <v>15.469382643903669</v>
      </c>
      <c r="D31">
        <f>100*db!D31</f>
        <v>1.1177987962166789</v>
      </c>
      <c r="E31">
        <f>100*db!E31</f>
        <v>2.3231801755291692</v>
      </c>
      <c r="F31">
        <f>100*db!F31</f>
        <v>4.8225973131243149</v>
      </c>
      <c r="G31">
        <f>db!G31</f>
        <v>-0.25090370000000001</v>
      </c>
    </row>
    <row r="32" spans="1:7" x14ac:dyDescent="0.3">
      <c r="A32" t="s">
        <v>38</v>
      </c>
      <c r="B32">
        <f>100*db!B32</f>
        <v>1.7477147403871029</v>
      </c>
      <c r="C32">
        <f>100*db!C32</f>
        <v>13.4964452668875</v>
      </c>
      <c r="D32">
        <f>100*db!D32</f>
        <v>0.17256255392578831</v>
      </c>
      <c r="E32">
        <f>100*db!E32</f>
        <v>2.2715539494063015</v>
      </c>
      <c r="F32">
        <f>100*db!F32</f>
        <v>5.4260869565217122</v>
      </c>
      <c r="G32">
        <f>db!G32</f>
        <v>-0.1503636333333333</v>
      </c>
    </row>
    <row r="33" spans="1:7" x14ac:dyDescent="0.3">
      <c r="A33" t="s">
        <v>39</v>
      </c>
      <c r="B33">
        <f>100*db!B33</f>
        <v>0.98309588162536765</v>
      </c>
      <c r="C33">
        <f>100*db!C33</f>
        <v>14.937697913543991</v>
      </c>
      <c r="D33">
        <f>100*db!D33</f>
        <v>-1.612903225806444</v>
      </c>
      <c r="E33">
        <f>100*db!E33</f>
        <v>2.1994884910485775</v>
      </c>
      <c r="F33">
        <f>100*db!F33</f>
        <v>1.1509817197020913</v>
      </c>
      <c r="G33">
        <f>db!G33</f>
        <v>-0.13639153333333329</v>
      </c>
    </row>
    <row r="34" spans="1:7" x14ac:dyDescent="0.3">
      <c r="A34" t="s">
        <v>40</v>
      </c>
      <c r="B34">
        <f>100*db!B34</f>
        <v>0.47475144023152899</v>
      </c>
      <c r="C34">
        <f>100*db!C34</f>
        <v>18.543137235580438</v>
      </c>
      <c r="D34">
        <f>100*db!D34</f>
        <v>-2.0442930153322019</v>
      </c>
      <c r="E34">
        <f>100*db!E34</f>
        <v>2.051282051282044</v>
      </c>
      <c r="F34">
        <f>100*db!F34</f>
        <v>0.1031282227569553</v>
      </c>
      <c r="G34">
        <f>db!G34</f>
        <v>7.3656366666666667E-2</v>
      </c>
    </row>
    <row r="35" spans="1:7" x14ac:dyDescent="0.3">
      <c r="A35" t="s">
        <v>41</v>
      </c>
      <c r="B35">
        <f>100*db!B35</f>
        <v>0.98848586902107005</v>
      </c>
      <c r="C35">
        <f>100*db!C35</f>
        <v>16.437261338106481</v>
      </c>
      <c r="D35">
        <f>100*db!D35</f>
        <v>-1.3605442176870699</v>
      </c>
      <c r="E35">
        <f>100*db!E35</f>
        <v>2.2199798183652906</v>
      </c>
      <c r="F35">
        <f>100*db!F35</f>
        <v>-5.3894183371672311</v>
      </c>
      <c r="G35">
        <f>db!G35</f>
        <v>9.1306666666666675E-2</v>
      </c>
    </row>
    <row r="36" spans="1:7" x14ac:dyDescent="0.3">
      <c r="A36" t="s">
        <v>42</v>
      </c>
      <c r="B36">
        <f>100*db!B36</f>
        <v>1.434897656697556</v>
      </c>
      <c r="C36">
        <f>100*db!C36</f>
        <v>22.77806885857569</v>
      </c>
      <c r="D36">
        <f>100*db!D36</f>
        <v>0.1722652885443608</v>
      </c>
      <c r="E36">
        <f>100*db!E36</f>
        <v>2.1706208985360989</v>
      </c>
      <c r="F36">
        <f>100*db!F36</f>
        <v>-1.5836357637742986</v>
      </c>
      <c r="G36">
        <f>db!G36</f>
        <v>-0.16965223333333329</v>
      </c>
    </row>
    <row r="37" spans="1:7" x14ac:dyDescent="0.3">
      <c r="A37" t="s">
        <v>43</v>
      </c>
      <c r="B37">
        <f>100*db!B37</f>
        <v>1.6712333738590781</v>
      </c>
      <c r="C37">
        <f>100*db!C37</f>
        <v>15.5369058020257</v>
      </c>
      <c r="D37">
        <f>100*db!D37</f>
        <v>0.6902502157031899</v>
      </c>
      <c r="E37">
        <f>100*db!E37</f>
        <v>2.4024024024024158</v>
      </c>
      <c r="F37">
        <f>100*db!F37</f>
        <v>5.7898259705489039</v>
      </c>
      <c r="G37">
        <f>db!G37</f>
        <v>-2.32201E-2</v>
      </c>
    </row>
    <row r="38" spans="1:7" x14ac:dyDescent="0.3">
      <c r="A38" t="s">
        <v>44</v>
      </c>
      <c r="B38">
        <f>100*db!B38</f>
        <v>2.1671770361014491</v>
      </c>
      <c r="C38">
        <f>100*db!C38</f>
        <v>16.77112276580581</v>
      </c>
      <c r="D38">
        <f>100*db!D38</f>
        <v>2.695652173913039</v>
      </c>
      <c r="E38">
        <f>100*db!E38</f>
        <v>2.2110552763819125</v>
      </c>
      <c r="F38">
        <f>100*db!F38</f>
        <v>11.984890109890117</v>
      </c>
      <c r="G38">
        <f>db!G38</f>
        <v>0.2782135</v>
      </c>
    </row>
    <row r="39" spans="1:7" x14ac:dyDescent="0.3">
      <c r="A39" t="s">
        <v>45</v>
      </c>
      <c r="B39">
        <f>100*db!B39</f>
        <v>1.6592910383863222</v>
      </c>
      <c r="C39">
        <f>100*db!C39</f>
        <v>12.02561528383931</v>
      </c>
      <c r="D39">
        <f>100*db!D39</f>
        <v>3.6206896551724164</v>
      </c>
      <c r="E39">
        <f>100*db!E39</f>
        <v>2.2704837117472825</v>
      </c>
      <c r="F39">
        <f>100*db!F39</f>
        <v>16.533518582841229</v>
      </c>
      <c r="G39">
        <f>db!G39</f>
        <v>0.42281986666666671</v>
      </c>
    </row>
    <row r="40" spans="1:7" x14ac:dyDescent="0.3">
      <c r="A40" t="s">
        <v>46</v>
      </c>
      <c r="B40">
        <f>100*db!B40</f>
        <v>1.4154960511335559</v>
      </c>
      <c r="C40">
        <f>100*db!C40</f>
        <v>10.64059592030164</v>
      </c>
      <c r="D40">
        <f>100*db!D40</f>
        <v>3.6973344797936347</v>
      </c>
      <c r="E40">
        <f>100*db!E40</f>
        <v>2.3715415019762762</v>
      </c>
      <c r="F40">
        <f>100*db!F40</f>
        <v>12.336573918873615</v>
      </c>
      <c r="G40">
        <f>db!G40</f>
        <v>1.054683266666667</v>
      </c>
    </row>
    <row r="41" spans="1:7" x14ac:dyDescent="0.3">
      <c r="A41" t="s">
        <v>47</v>
      </c>
      <c r="B41">
        <f>100*db!B41</f>
        <v>2.3424950919150449</v>
      </c>
      <c r="C41">
        <f>100*db!C41</f>
        <v>16.04797956104531</v>
      </c>
      <c r="D41">
        <f>100*db!D41</f>
        <v>4.4558697514995744</v>
      </c>
      <c r="E41">
        <f>100*db!E41</f>
        <v>1.9550342130987224</v>
      </c>
      <c r="F41">
        <f>100*db!F41</f>
        <v>4.8402404302435862</v>
      </c>
      <c r="G41">
        <f>db!G41</f>
        <v>1.8277974333333331</v>
      </c>
    </row>
    <row r="42" spans="1:7" x14ac:dyDescent="0.3">
      <c r="A42" t="s">
        <v>48</v>
      </c>
      <c r="B42">
        <f>100*db!B42</f>
        <v>1.9033049912839179</v>
      </c>
      <c r="C42">
        <f>100*db!C42</f>
        <v>10.13022705694971</v>
      </c>
      <c r="D42">
        <f>100*db!D42</f>
        <v>4.064352243861145</v>
      </c>
      <c r="E42">
        <f>100*db!E42</f>
        <v>2.0157325467060092</v>
      </c>
      <c r="F42">
        <f>100*db!F42</f>
        <v>1.5639374425023025</v>
      </c>
      <c r="G42">
        <f>db!G42</f>
        <v>1.9869908999999999</v>
      </c>
    </row>
    <row r="43" spans="1:7" x14ac:dyDescent="0.3">
      <c r="A43" t="s">
        <v>49</v>
      </c>
      <c r="B43">
        <f>100*db!B43</f>
        <v>1.82814383998865</v>
      </c>
      <c r="C43">
        <f>100*db!C43</f>
        <v>15.116864543812431</v>
      </c>
      <c r="D43">
        <f>100*db!D43</f>
        <v>2.1630615640598951</v>
      </c>
      <c r="E43">
        <f>100*db!E43</f>
        <v>1.8822393822393781</v>
      </c>
      <c r="F43">
        <f>100*db!F43</f>
        <v>-1.6095380029806241</v>
      </c>
      <c r="G43">
        <f>db!G43</f>
        <v>2.164796233333333</v>
      </c>
    </row>
    <row r="44" spans="1:7" x14ac:dyDescent="0.3">
      <c r="A44" t="s">
        <v>50</v>
      </c>
      <c r="B44">
        <f>100*db!B44</f>
        <v>1.504463891098734</v>
      </c>
      <c r="C44">
        <f>100*db!C44</f>
        <v>5.0462893173300385</v>
      </c>
      <c r="D44">
        <f>100*db!D44</f>
        <v>3.1509121061359959</v>
      </c>
      <c r="E44">
        <f>100*db!E44</f>
        <v>1.6409266409266505</v>
      </c>
      <c r="F44">
        <f>100*db!F44</f>
        <v>-5.3118472097881009</v>
      </c>
      <c r="G44">
        <f>db!G44</f>
        <v>2.6338301666666668</v>
      </c>
    </row>
    <row r="45" spans="1:7" x14ac:dyDescent="0.3">
      <c r="A45" t="s">
        <v>51</v>
      </c>
      <c r="B45">
        <f>100*db!B45</f>
        <v>-8.1963639534384E-2</v>
      </c>
      <c r="C45">
        <f>100*db!C45</f>
        <v>-6.952058927166445</v>
      </c>
      <c r="D45">
        <f>100*db!D45</f>
        <v>-8.2034454470884755E-2</v>
      </c>
      <c r="E45">
        <f>100*db!E45</f>
        <v>2.588686481303927</v>
      </c>
      <c r="F45">
        <f>100*db!F45</f>
        <v>-6.3971031985516191</v>
      </c>
      <c r="G45">
        <f>db!G45</f>
        <v>1.8247684</v>
      </c>
    </row>
    <row r="46" spans="1:7" x14ac:dyDescent="0.3">
      <c r="A46" t="s">
        <v>52</v>
      </c>
      <c r="B46">
        <f>100*db!B46</f>
        <v>1.1075617930456689</v>
      </c>
      <c r="C46">
        <f>100*db!C46</f>
        <v>-22.162501855371961</v>
      </c>
      <c r="D46">
        <f>100*db!D46</f>
        <v>0.97640358014645123</v>
      </c>
      <c r="E46">
        <f>100*db!E46</f>
        <v>3.2771084337349383</v>
      </c>
      <c r="F46">
        <f>100*db!F46</f>
        <v>-9.3297101449275459</v>
      </c>
      <c r="G46">
        <f>db!G46</f>
        <v>1.1133363666666669</v>
      </c>
    </row>
    <row r="47" spans="1:7" x14ac:dyDescent="0.3">
      <c r="A47" t="s">
        <v>53</v>
      </c>
      <c r="B47">
        <f>100*db!B47</f>
        <v>-7.6619011963008576E-2</v>
      </c>
      <c r="C47">
        <f>100*db!C47</f>
        <v>-31.385004899463858</v>
      </c>
      <c r="D47">
        <f>100*db!D47</f>
        <v>0.162866449511403</v>
      </c>
      <c r="E47">
        <f>100*db!E47</f>
        <v>3.7423022264329799</v>
      </c>
      <c r="F47">
        <f>100*db!F47</f>
        <v>-10.511966070887583</v>
      </c>
      <c r="G47">
        <f>db!G47</f>
        <v>1.227134933333333</v>
      </c>
    </row>
    <row r="48" spans="1:7" x14ac:dyDescent="0.3">
      <c r="A48" t="s">
        <v>54</v>
      </c>
      <c r="B48">
        <f>100*db!B48</f>
        <v>-1.561411453253442</v>
      </c>
      <c r="C48">
        <f>100*db!C48</f>
        <v>-36.459849300962134</v>
      </c>
      <c r="D48">
        <f>100*db!D48</f>
        <v>-6.430868167202572</v>
      </c>
      <c r="E48">
        <f>100*db!E48</f>
        <v>4.1310541310541193</v>
      </c>
      <c r="F48">
        <f>100*db!F48</f>
        <v>-12.448786637251841</v>
      </c>
      <c r="G48">
        <f>db!G48</f>
        <v>1.1484574333333331</v>
      </c>
    </row>
    <row r="49" spans="1:7" x14ac:dyDescent="0.3">
      <c r="A49" t="s">
        <v>55</v>
      </c>
      <c r="B49">
        <f>100*db!B49</f>
        <v>-3.7070974160274295</v>
      </c>
      <c r="C49">
        <f>100*db!C49</f>
        <v>-49.526128122173581</v>
      </c>
      <c r="D49">
        <f>100*db!D49</f>
        <v>-11.08374384236453</v>
      </c>
      <c r="E49">
        <f>100*db!E49</f>
        <v>2.8971962616822378</v>
      </c>
      <c r="F49">
        <f>100*db!F49</f>
        <v>-20.08381689232754</v>
      </c>
      <c r="G49">
        <f>db!G49</f>
        <v>1.914668666666667</v>
      </c>
    </row>
    <row r="50" spans="1:7" x14ac:dyDescent="0.3">
      <c r="A50" t="s">
        <v>56</v>
      </c>
      <c r="B50">
        <f>100*db!B50</f>
        <v>-7.0879192023824924</v>
      </c>
      <c r="C50">
        <f>100*db!C50</f>
        <v>-50.645353470391555</v>
      </c>
      <c r="D50">
        <f>100*db!D50</f>
        <v>-22.401289282836419</v>
      </c>
      <c r="E50">
        <f>100*db!E50</f>
        <v>1.3065795613625613</v>
      </c>
      <c r="F50">
        <f>100*db!F50</f>
        <v>-25.407925407925397</v>
      </c>
      <c r="G50">
        <f>db!G50</f>
        <v>1.0450094333333331</v>
      </c>
    </row>
    <row r="51" spans="1:7" x14ac:dyDescent="0.3">
      <c r="A51" t="s">
        <v>57</v>
      </c>
      <c r="B51">
        <f>100*db!B51</f>
        <v>-6.7180175313246142</v>
      </c>
      <c r="C51">
        <f>100*db!C51</f>
        <v>-32.457156911379101</v>
      </c>
      <c r="D51">
        <f>100*db!D51</f>
        <v>-23.658536585365848</v>
      </c>
      <c r="E51">
        <f>100*db!E51</f>
        <v>0.91324200913242659</v>
      </c>
      <c r="F51">
        <f>100*db!F51</f>
        <v>-16.892349356804338</v>
      </c>
      <c r="G51">
        <f>db!G51</f>
        <v>1.1439697</v>
      </c>
    </row>
    <row r="52" spans="1:7" x14ac:dyDescent="0.3">
      <c r="A52" t="s">
        <v>58</v>
      </c>
      <c r="B52">
        <f>100*db!B52</f>
        <v>-4.9743893700404325</v>
      </c>
      <c r="C52">
        <f>100*db!C52</f>
        <v>-10.231295420234639</v>
      </c>
      <c r="D52">
        <f>100*db!D52</f>
        <v>-17.869415807560149</v>
      </c>
      <c r="E52">
        <f>100*db!E52</f>
        <v>9.1199270405851018E-2</v>
      </c>
      <c r="F52">
        <f>100*db!F52</f>
        <v>-1.9798416126709812</v>
      </c>
      <c r="G52">
        <f>db!G52</f>
        <v>1.2358412000000001</v>
      </c>
    </row>
    <row r="53" spans="1:7" x14ac:dyDescent="0.3">
      <c r="A53" t="s">
        <v>59</v>
      </c>
      <c r="B53">
        <f>100*db!B53</f>
        <v>-2.3916333614275578</v>
      </c>
      <c r="C53">
        <f>100*db!C53</f>
        <v>19.470459975138148</v>
      </c>
      <c r="D53">
        <f>100*db!D53</f>
        <v>-9.3259464450600138</v>
      </c>
      <c r="E53">
        <f>100*db!E53</f>
        <v>0.77202543142599067</v>
      </c>
      <c r="F53">
        <f>100*db!F53</f>
        <v>17.022993142396142</v>
      </c>
      <c r="G53">
        <f>db!G53</f>
        <v>0.28857866666666671</v>
      </c>
    </row>
    <row r="54" spans="1:7" x14ac:dyDescent="0.3">
      <c r="A54" t="s">
        <v>60</v>
      </c>
      <c r="B54">
        <f>100*db!B54</f>
        <v>0.447813887804968</v>
      </c>
      <c r="C54">
        <f>100*db!C54</f>
        <v>44.618885919097728</v>
      </c>
      <c r="D54">
        <f>100*db!D54</f>
        <v>3.9460020768431963</v>
      </c>
      <c r="E54">
        <f>100*db!E54</f>
        <v>1.2897282358360256</v>
      </c>
      <c r="F54">
        <f>100*db!F54</f>
        <v>35.089285714285758</v>
      </c>
      <c r="G54">
        <f>db!G54</f>
        <v>-0.43786449999999999</v>
      </c>
    </row>
    <row r="55" spans="1:7" x14ac:dyDescent="0.3">
      <c r="A55" t="s">
        <v>61</v>
      </c>
      <c r="B55">
        <f>100*db!B55</f>
        <v>1.6729562098341029</v>
      </c>
      <c r="C55">
        <f>100*db!C55</f>
        <v>-2.5686127475032472</v>
      </c>
      <c r="D55">
        <f>100*db!D55</f>
        <v>8.7326943556975376</v>
      </c>
      <c r="E55">
        <f>100*db!E55</f>
        <v>1.4932126696832502</v>
      </c>
      <c r="F55">
        <f>100*db!F55</f>
        <v>24.765784114052952</v>
      </c>
      <c r="G55">
        <f>db!G55</f>
        <v>-0.91372843333333331</v>
      </c>
    </row>
    <row r="56" spans="1:7" x14ac:dyDescent="0.3">
      <c r="A56" t="s">
        <v>62</v>
      </c>
      <c r="B56">
        <f>100*db!B56</f>
        <v>1.601251210248007</v>
      </c>
      <c r="C56">
        <f>100*db!C56</f>
        <v>-11.5480896401459</v>
      </c>
      <c r="D56">
        <f>100*db!D56</f>
        <v>9.5188284518828539</v>
      </c>
      <c r="E56">
        <f>100*db!E56</f>
        <v>1.7312072892938482</v>
      </c>
      <c r="F56">
        <f>100*db!F56</f>
        <v>11.788468600807967</v>
      </c>
      <c r="G56">
        <f>db!G56</f>
        <v>-0.85839393333333336</v>
      </c>
    </row>
    <row r="57" spans="1:7" x14ac:dyDescent="0.3">
      <c r="A57" t="s">
        <v>63</v>
      </c>
      <c r="B57">
        <f>100*db!B57</f>
        <v>2.1995469063358839</v>
      </c>
      <c r="C57">
        <f>100*db!C57</f>
        <v>-13.22715250389381</v>
      </c>
      <c r="D57">
        <f>100*db!D57</f>
        <v>5.804480651731164</v>
      </c>
      <c r="E57">
        <f>100*db!E57</f>
        <v>1.9378098242451414</v>
      </c>
      <c r="F57">
        <f>100*db!F57</f>
        <v>5.4463977938642136</v>
      </c>
      <c r="G57">
        <f>db!G57</f>
        <v>-0.97953069999999998</v>
      </c>
    </row>
    <row r="58" spans="1:7" x14ac:dyDescent="0.3">
      <c r="A58" t="s">
        <v>64</v>
      </c>
      <c r="B58">
        <f>100*db!B58</f>
        <v>2.3872507306966622</v>
      </c>
      <c r="C58">
        <f>100*db!C58</f>
        <v>-5.338510582737884</v>
      </c>
      <c r="D58">
        <f>100*db!D58</f>
        <v>4.3956043956044004</v>
      </c>
      <c r="E58">
        <f>100*db!E58</f>
        <v>2.3192360163710819</v>
      </c>
      <c r="F58">
        <f>100*db!F58</f>
        <v>0.46265697290145141</v>
      </c>
      <c r="G58">
        <f>db!G58</f>
        <v>-1.373496733333333</v>
      </c>
    </row>
    <row r="59" spans="1:7" x14ac:dyDescent="0.3">
      <c r="A59" t="s">
        <v>65</v>
      </c>
      <c r="B59">
        <f>100*db!B59</f>
        <v>1.4570911462879199</v>
      </c>
      <c r="C59">
        <f>100*db!C59</f>
        <v>8.3047399249146068</v>
      </c>
      <c r="D59">
        <f>100*db!D59</f>
        <v>2.8403525954946192</v>
      </c>
      <c r="E59">
        <f>100*db!E59</f>
        <v>2.9870708872046379</v>
      </c>
      <c r="F59">
        <f>100*db!F59</f>
        <v>-1.7956252040482863</v>
      </c>
      <c r="G59">
        <f>db!G59</f>
        <v>-1.3217025666666671</v>
      </c>
    </row>
    <row r="60" spans="1:7" x14ac:dyDescent="0.3">
      <c r="A60" t="s">
        <v>66</v>
      </c>
      <c r="B60">
        <f>100*db!B60</f>
        <v>0.72570004398182231</v>
      </c>
      <c r="C60">
        <f>100*db!C60</f>
        <v>-27.241755908288212</v>
      </c>
      <c r="D60">
        <f>100*db!D60</f>
        <v>-1.910219675262655</v>
      </c>
      <c r="E60">
        <f>100*db!E60</f>
        <v>2.6421854008060928</v>
      </c>
      <c r="F60">
        <f>100*db!F60</f>
        <v>-8.4428383705650667</v>
      </c>
      <c r="G60">
        <f>db!G60</f>
        <v>-1.1379465</v>
      </c>
    </row>
    <row r="61" spans="1:7" x14ac:dyDescent="0.3">
      <c r="A61" t="s">
        <v>67</v>
      </c>
      <c r="B61">
        <f>100*db!B61</f>
        <v>-1.1092638521708231</v>
      </c>
      <c r="C61">
        <f>100*db!C61</f>
        <v>-25.199409714528471</v>
      </c>
      <c r="D61">
        <f>100*db!D61</f>
        <v>-2.0211742059672839</v>
      </c>
      <c r="E61">
        <f>100*db!E61</f>
        <v>3.7135278514589012</v>
      </c>
      <c r="F61">
        <f>100*db!F61</f>
        <v>-13.795357960117705</v>
      </c>
      <c r="G61">
        <f>db!G61</f>
        <v>-1.437788633333333</v>
      </c>
    </row>
    <row r="62" spans="1:7" x14ac:dyDescent="0.3">
      <c r="A62" t="s">
        <v>68</v>
      </c>
      <c r="B62">
        <f>100*db!B62</f>
        <v>-2.6911298409170969</v>
      </c>
      <c r="C62">
        <f>100*db!C62</f>
        <v>-27.256749319571362</v>
      </c>
      <c r="D62">
        <f>100*db!D62</f>
        <v>-5.2631578947368416</v>
      </c>
      <c r="E62">
        <f>100*db!E62</f>
        <v>3.6000000000000041</v>
      </c>
      <c r="F62">
        <f>100*db!F62</f>
        <v>-17.105263157894708</v>
      </c>
      <c r="G62">
        <f>db!G62</f>
        <v>-1.6570108333333331</v>
      </c>
    </row>
    <row r="63" spans="1:7" x14ac:dyDescent="0.3">
      <c r="A63" t="s">
        <v>69</v>
      </c>
      <c r="B63">
        <f>100*db!B63</f>
        <v>-3.2725725100287089</v>
      </c>
      <c r="C63">
        <f>100*db!C63</f>
        <v>-30.426587915673792</v>
      </c>
      <c r="D63">
        <f>100*db!D63</f>
        <v>-6.3809523809523832</v>
      </c>
      <c r="E63">
        <f>100*db!E63</f>
        <v>3.5930735930735915</v>
      </c>
      <c r="F63">
        <f>100*db!F63</f>
        <v>-21.210106382978744</v>
      </c>
      <c r="G63">
        <f>db!G63</f>
        <v>-1.770639333333333</v>
      </c>
    </row>
    <row r="64" spans="1:7" x14ac:dyDescent="0.3">
      <c r="A64" t="s">
        <v>70</v>
      </c>
      <c r="B64">
        <f>100*db!B64</f>
        <v>-3.4731824466923791</v>
      </c>
      <c r="C64">
        <f>100*db!C64</f>
        <v>4.6289749553966537</v>
      </c>
      <c r="D64">
        <f>100*db!D64</f>
        <v>-4.576436222005845</v>
      </c>
      <c r="E64">
        <f>100*db!E64</f>
        <v>3.4467713787085414</v>
      </c>
      <c r="F64">
        <f>100*db!F64</f>
        <v>-15.572299964119127</v>
      </c>
      <c r="G64">
        <f>db!G64</f>
        <v>-2.1747543999999999</v>
      </c>
    </row>
    <row r="65" spans="1:7" x14ac:dyDescent="0.3">
      <c r="A65" t="s">
        <v>71</v>
      </c>
      <c r="B65">
        <f>100*db!B65</f>
        <v>-3.2677396832396304</v>
      </c>
      <c r="C65">
        <f>100*db!C65</f>
        <v>7.8440052645042222</v>
      </c>
      <c r="D65">
        <f>100*db!D65</f>
        <v>-6.5815324165029496</v>
      </c>
      <c r="E65">
        <f>100*db!E65</f>
        <v>2.6427962489343515</v>
      </c>
      <c r="F65">
        <f>100*db!F65</f>
        <v>-9.4425483503981766</v>
      </c>
      <c r="G65">
        <f>db!G65</f>
        <v>-2.1048711</v>
      </c>
    </row>
    <row r="66" spans="1:7" x14ac:dyDescent="0.3">
      <c r="A66" t="s">
        <v>72</v>
      </c>
      <c r="B66">
        <f>100*db!B66</f>
        <v>-3.0589130878776079</v>
      </c>
      <c r="C66">
        <f>100*db!C66</f>
        <v>-4.0134367371356969</v>
      </c>
      <c r="D66">
        <f>100*db!D66</f>
        <v>-4.5454545454545459</v>
      </c>
      <c r="E66">
        <f>100*db!E66</f>
        <v>2.0163020163020113</v>
      </c>
      <c r="F66">
        <f>100*db!F66</f>
        <v>-5.0396825396825404</v>
      </c>
      <c r="G66">
        <f>db!G66</f>
        <v>-1.6552302999999999</v>
      </c>
    </row>
    <row r="67" spans="1:7" x14ac:dyDescent="0.3">
      <c r="A67" t="s">
        <v>73</v>
      </c>
      <c r="B67">
        <f>100*db!B67</f>
        <v>-2.2664507250582817</v>
      </c>
      <c r="C67">
        <f>100*db!C67</f>
        <v>8.3030250640833803</v>
      </c>
      <c r="D67">
        <f>100*db!D67</f>
        <v>-3.8657171922685634</v>
      </c>
      <c r="E67">
        <f>100*db!E67</f>
        <v>1.2536564981195153</v>
      </c>
      <c r="F67">
        <f>100*db!F67</f>
        <v>2.109704641350199</v>
      </c>
      <c r="G67">
        <f>db!G67</f>
        <v>-1.193205966666667</v>
      </c>
    </row>
    <row r="68" spans="1:7" x14ac:dyDescent="0.3">
      <c r="A68" t="s">
        <v>74</v>
      </c>
      <c r="B68">
        <f>100*db!B68</f>
        <v>-1.2845160682310799</v>
      </c>
      <c r="C68">
        <f>100*db!C68</f>
        <v>15.80843596633404</v>
      </c>
      <c r="D68">
        <f>100*db!D68</f>
        <v>-3.6734693877550963</v>
      </c>
      <c r="E68">
        <f>100*db!E68</f>
        <v>1.0965837199493982</v>
      </c>
      <c r="F68">
        <f>100*db!F68</f>
        <v>13.344666383340417</v>
      </c>
      <c r="G68">
        <f>db!G68</f>
        <v>-1.1098211666666671</v>
      </c>
    </row>
    <row r="69" spans="1:7" x14ac:dyDescent="0.3">
      <c r="A69" t="s">
        <v>75</v>
      </c>
      <c r="B69">
        <f>100*db!B69</f>
        <v>-0.66669832375706173</v>
      </c>
      <c r="C69">
        <f>100*db!C69</f>
        <v>16.55666924289854</v>
      </c>
      <c r="D69">
        <f>100*db!D69</f>
        <v>-0.3154574132492084</v>
      </c>
      <c r="E69">
        <f>100*db!E69</f>
        <v>0.66445182724252261</v>
      </c>
      <c r="F69">
        <f>100*db!F69</f>
        <v>16.164154103852585</v>
      </c>
      <c r="G69">
        <f>db!G69</f>
        <v>-0.55909763333333329</v>
      </c>
    </row>
    <row r="70" spans="1:7" x14ac:dyDescent="0.3">
      <c r="A70" t="s">
        <v>76</v>
      </c>
      <c r="B70">
        <f>100*db!B70</f>
        <v>0.20493569424360397</v>
      </c>
      <c r="C70">
        <f>100*db!C70</f>
        <v>42.876373639651803</v>
      </c>
      <c r="D70">
        <f>100*db!D70</f>
        <v>0.2116402116402146</v>
      </c>
      <c r="E70">
        <f>100*db!E70</f>
        <v>0.42052144659378826</v>
      </c>
      <c r="F70">
        <f>100*db!F70</f>
        <v>19.765984120351025</v>
      </c>
      <c r="G70">
        <f>db!G70</f>
        <v>-0.37150706666666672</v>
      </c>
    </row>
    <row r="71" spans="1:7" x14ac:dyDescent="0.3">
      <c r="A71" t="s">
        <v>77</v>
      </c>
      <c r="B71">
        <f>100*db!B71</f>
        <v>0.25479415314470144</v>
      </c>
      <c r="C71">
        <f>100*db!C71</f>
        <v>39.482706251530132</v>
      </c>
      <c r="D71">
        <f>100*db!D71</f>
        <v>0</v>
      </c>
      <c r="E71">
        <f>100*db!E71</f>
        <v>0.37144036318612939</v>
      </c>
      <c r="F71">
        <f>100*db!F71</f>
        <v>20.206611570247951</v>
      </c>
      <c r="G71">
        <f>db!G71</f>
        <v>-0.26808333333333328</v>
      </c>
    </row>
    <row r="72" spans="1:7" x14ac:dyDescent="0.3">
      <c r="A72" t="s">
        <v>78</v>
      </c>
      <c r="B72">
        <f>100*db!B72</f>
        <v>-7.1601095974111753E-2</v>
      </c>
      <c r="C72">
        <f>100*db!C72</f>
        <v>15.181876269406169</v>
      </c>
      <c r="D72">
        <f>100*db!D72</f>
        <v>-1.2711864406779689</v>
      </c>
      <c r="E72">
        <f>100*db!E72</f>
        <v>-8.3437630371310495E-2</v>
      </c>
      <c r="F72">
        <f>100*db!F72</f>
        <v>4.9868766404199354</v>
      </c>
      <c r="G72">
        <f>db!G72</f>
        <v>-0.20209806666666669</v>
      </c>
    </row>
    <row r="73" spans="1:7" x14ac:dyDescent="0.3">
      <c r="A73" t="s">
        <v>79</v>
      </c>
      <c r="B73">
        <f>100*db!B73</f>
        <v>-8.509173654068497E-2</v>
      </c>
      <c r="C73">
        <f>100*db!C73</f>
        <v>0.23331791606397478</v>
      </c>
      <c r="D73">
        <f>100*db!D73</f>
        <v>-1.476793248945139</v>
      </c>
      <c r="E73">
        <f>100*db!E73</f>
        <v>8.2508250825077831E-2</v>
      </c>
      <c r="F73">
        <f>100*db!F73</f>
        <v>-0.46863734679164065</v>
      </c>
      <c r="G73">
        <f>db!G73</f>
        <v>-8.5195499999999993E-2</v>
      </c>
    </row>
    <row r="74" spans="1:7" x14ac:dyDescent="0.3">
      <c r="A74" t="s">
        <v>80</v>
      </c>
      <c r="B74">
        <f>100*db!B74</f>
        <v>0.27332587899118033</v>
      </c>
      <c r="C74">
        <f>100*db!C74</f>
        <v>6.5870799157418212</v>
      </c>
      <c r="D74">
        <f>100*db!D74</f>
        <v>-0.42238648363252973</v>
      </c>
      <c r="E74">
        <f>100*db!E74</f>
        <v>-8.3752093802358152E-2</v>
      </c>
      <c r="F74">
        <f>100*db!F74</f>
        <v>3.1053733426378249</v>
      </c>
      <c r="G74">
        <f>db!G74</f>
        <v>0.37934950000000001</v>
      </c>
    </row>
    <row r="75" spans="1:7" x14ac:dyDescent="0.3">
      <c r="A75" t="s">
        <v>81</v>
      </c>
      <c r="B75">
        <f>100*db!B75</f>
        <v>0.6783612321332968</v>
      </c>
      <c r="C75">
        <f>100*db!C75</f>
        <v>6.4006625833844328</v>
      </c>
      <c r="D75">
        <f>100*db!D75</f>
        <v>0.95238095238095832</v>
      </c>
      <c r="E75">
        <f>100*db!E75</f>
        <v>0.16447368421053452</v>
      </c>
      <c r="F75">
        <f>100*db!F75</f>
        <v>5.6033001031282268</v>
      </c>
      <c r="G75">
        <f>db!G75</f>
        <v>-0.43985916666666669</v>
      </c>
    </row>
    <row r="76" spans="1:7" x14ac:dyDescent="0.3">
      <c r="A76" t="s">
        <v>82</v>
      </c>
      <c r="B76">
        <f>100*db!B76</f>
        <v>0.70314888413329657</v>
      </c>
      <c r="C76">
        <f>100*db!C76</f>
        <v>2.1082605354444133</v>
      </c>
      <c r="D76">
        <f>100*db!D76</f>
        <v>2.1459227467811157</v>
      </c>
      <c r="E76">
        <f>100*db!E76</f>
        <v>0.29227557411273608</v>
      </c>
      <c r="F76">
        <f>100*db!F76</f>
        <v>11.500000000000048</v>
      </c>
      <c r="G76">
        <f>db!G76</f>
        <v>-0.39448376666666668</v>
      </c>
    </row>
    <row r="77" spans="1:7" x14ac:dyDescent="0.3">
      <c r="A77" t="s">
        <v>83</v>
      </c>
      <c r="B77">
        <f>100*db!B77</f>
        <v>1.3272219245196359</v>
      </c>
      <c r="C77">
        <f>100*db!C77</f>
        <v>12.65730462105161</v>
      </c>
      <c r="D77">
        <f>100*db!D77</f>
        <v>1.8201284796573749</v>
      </c>
      <c r="E77">
        <f>100*db!E77</f>
        <v>0.24732069249794256</v>
      </c>
      <c r="F77">
        <f>100*db!F77</f>
        <v>15.755161173487837</v>
      </c>
      <c r="G77">
        <f>db!G77</f>
        <v>-0.35584270000000001</v>
      </c>
    </row>
    <row r="78" spans="1:7" x14ac:dyDescent="0.3">
      <c r="A78" t="s">
        <v>84</v>
      </c>
      <c r="B78">
        <f>100*db!B78</f>
        <v>1.130352734862702</v>
      </c>
      <c r="C78">
        <f>100*db!C78</f>
        <v>-23.897246478732981</v>
      </c>
      <c r="D78">
        <f>100*db!D78</f>
        <v>1.908801696712616</v>
      </c>
      <c r="E78">
        <f>100*db!E78</f>
        <v>-4.1911148365462836E-2</v>
      </c>
      <c r="F78">
        <f>100*db!F78</f>
        <v>4.9407783417936066</v>
      </c>
      <c r="G78">
        <f>db!G78</f>
        <v>-0.25274839999999998</v>
      </c>
    </row>
    <row r="79" spans="1:7" x14ac:dyDescent="0.3">
      <c r="A79" t="s">
        <v>85</v>
      </c>
      <c r="B79">
        <f>100*db!B79</f>
        <v>1.0239717577391081</v>
      </c>
      <c r="C79">
        <f>100*db!C79</f>
        <v>-28.974719897339739</v>
      </c>
      <c r="D79">
        <f>100*db!D79</f>
        <v>0.52410901467505244</v>
      </c>
      <c r="E79">
        <f>100*db!E79</f>
        <v>-0.36945812807881423</v>
      </c>
      <c r="F79">
        <f>100*db!F79</f>
        <v>2.6041666666666989</v>
      </c>
      <c r="G79">
        <f>db!G79</f>
        <v>-0.12476046666666669</v>
      </c>
    </row>
    <row r="80" spans="1:7" x14ac:dyDescent="0.3">
      <c r="A80" t="s">
        <v>86</v>
      </c>
      <c r="B80">
        <f>100*db!B80</f>
        <v>1.6820355191256791</v>
      </c>
      <c r="C80">
        <f>100*db!C80</f>
        <v>-22.427710738713081</v>
      </c>
      <c r="D80">
        <f>100*db!D80</f>
        <v>1.8907563025210059</v>
      </c>
      <c r="E80">
        <f>100*db!E80</f>
        <v>-4.1631973355534688E-2</v>
      </c>
      <c r="F80">
        <f>100*db!F80</f>
        <v>-1.7296604740551031</v>
      </c>
      <c r="G80">
        <f>db!G80</f>
        <v>-0.56479253333333335</v>
      </c>
    </row>
    <row r="81" spans="1:7" x14ac:dyDescent="0.3">
      <c r="A81" t="s">
        <v>87</v>
      </c>
      <c r="B81">
        <f>100*db!B81</f>
        <v>1.579926528222406</v>
      </c>
      <c r="C81">
        <f>100*db!C81</f>
        <v>-10.195863650600581</v>
      </c>
      <c r="D81">
        <f>100*db!D81</f>
        <v>3.8906414300736101</v>
      </c>
      <c r="E81">
        <f>100*db!E81</f>
        <v>0.20559210526316374</v>
      </c>
      <c r="F81">
        <f>100*db!F81</f>
        <v>-4.2553191489361435</v>
      </c>
      <c r="G81">
        <f>db!G81</f>
        <v>-1.0458145666666669</v>
      </c>
    </row>
    <row r="82" spans="1:7" x14ac:dyDescent="0.3">
      <c r="A82" t="s">
        <v>88</v>
      </c>
      <c r="B82">
        <f>100*db!B82</f>
        <v>1.861293575474285</v>
      </c>
      <c r="C82">
        <f>100*db!C82</f>
        <v>15.278865599956609</v>
      </c>
      <c r="D82">
        <f>100*db!D82</f>
        <v>2.0811654526534862</v>
      </c>
      <c r="E82">
        <f>100*db!E82</f>
        <v>1.3836477987421314</v>
      </c>
      <c r="F82">
        <f>100*db!F82</f>
        <v>1.9671073847145781</v>
      </c>
      <c r="G82">
        <f>db!G82</f>
        <v>-2.061164433333333</v>
      </c>
    </row>
    <row r="83" spans="1:7" x14ac:dyDescent="0.3">
      <c r="A83" t="s">
        <v>89</v>
      </c>
      <c r="B83">
        <f>100*db!B83</f>
        <v>1.9670652776342561</v>
      </c>
      <c r="C83">
        <f>100*db!C83</f>
        <v>26.316296608413932</v>
      </c>
      <c r="D83">
        <f>100*db!D83</f>
        <v>3.8581856100104153</v>
      </c>
      <c r="E83">
        <f>100*db!E83</f>
        <v>1.6069221260815787</v>
      </c>
      <c r="F83">
        <f>100*db!F83</f>
        <v>1.744923857867988</v>
      </c>
      <c r="G83">
        <f>db!G83</f>
        <v>-1.863281133333333</v>
      </c>
    </row>
    <row r="84" spans="1:7" x14ac:dyDescent="0.3">
      <c r="A84" t="s">
        <v>90</v>
      </c>
      <c r="B84">
        <f>100*db!B84</f>
        <v>1.351918716936769</v>
      </c>
      <c r="C84">
        <f>100*db!C84</f>
        <v>38.383757179698456</v>
      </c>
      <c r="D84">
        <f>100*db!D84</f>
        <v>4.8453608247422713</v>
      </c>
      <c r="E84">
        <f>100*db!E84</f>
        <v>1.2911286963765074</v>
      </c>
      <c r="F84">
        <f>100*db!F84</f>
        <v>6.0951760104302188</v>
      </c>
      <c r="G84">
        <f>db!G84</f>
        <v>-1.796298866666667</v>
      </c>
    </row>
    <row r="85" spans="1:7" x14ac:dyDescent="0.3">
      <c r="A85" t="s">
        <v>91</v>
      </c>
      <c r="B85">
        <f>100*db!B85</f>
        <v>1.5916105760291579</v>
      </c>
      <c r="C85">
        <f>100*db!C85</f>
        <v>13.61485263580324</v>
      </c>
      <c r="D85">
        <f>100*db!D85</f>
        <v>4.1497975708502111</v>
      </c>
      <c r="E85">
        <f>100*db!E85</f>
        <v>1.0258514567090626</v>
      </c>
      <c r="F85">
        <f>100*db!F85</f>
        <v>9.3464052287581403</v>
      </c>
      <c r="G85">
        <f>db!G85</f>
        <v>-1.7288133999999999</v>
      </c>
    </row>
    <row r="86" spans="1:7" x14ac:dyDescent="0.3">
      <c r="A86" t="s">
        <v>92</v>
      </c>
      <c r="B86">
        <f>100*db!B86</f>
        <v>0.95758854224491741</v>
      </c>
      <c r="C86">
        <f>100*db!C86</f>
        <v>9.3603633079377921</v>
      </c>
      <c r="D86">
        <f>100*db!D86</f>
        <v>3.5677879714576961</v>
      </c>
      <c r="E86">
        <f>100*db!E86</f>
        <v>0.86848635235732363</v>
      </c>
      <c r="F86">
        <f>100*db!F86</f>
        <v>3.7318153067678312</v>
      </c>
      <c r="G86">
        <f>db!G86</f>
        <v>-1.5949530999999999</v>
      </c>
    </row>
    <row r="87" spans="1:7" x14ac:dyDescent="0.3">
      <c r="A87" t="s">
        <v>93</v>
      </c>
      <c r="B87">
        <f>100*db!B87</f>
        <v>0.80702368559242066</v>
      </c>
      <c r="C87">
        <f>100*db!C87</f>
        <v>5.0623430345221472</v>
      </c>
      <c r="D87">
        <f>100*db!D87</f>
        <v>2.0080321285140559</v>
      </c>
      <c r="E87">
        <f>100*db!E87</f>
        <v>0.97323600973235669</v>
      </c>
      <c r="F87">
        <f>100*db!F87</f>
        <v>1.4343623323978378</v>
      </c>
      <c r="G87">
        <f>db!G87</f>
        <v>-2.0585749666666668</v>
      </c>
    </row>
    <row r="88" spans="1:7" x14ac:dyDescent="0.3">
      <c r="A88" t="s">
        <v>94</v>
      </c>
      <c r="B88">
        <f>100*db!B88</f>
        <v>0.64070698702015827</v>
      </c>
      <c r="C88">
        <f>100*db!C88</f>
        <v>-9.1923797147193902</v>
      </c>
      <c r="D88">
        <f>100*db!D88</f>
        <v>0</v>
      </c>
      <c r="E88">
        <f>100*db!E88</f>
        <v>1.6858552631579042</v>
      </c>
      <c r="F88">
        <f>100*db!F88</f>
        <v>-1.1367127496159501</v>
      </c>
      <c r="G88">
        <f>db!G88</f>
        <v>-2.4528591</v>
      </c>
    </row>
    <row r="89" spans="1:7" x14ac:dyDescent="0.3">
      <c r="A89" t="s">
        <v>95</v>
      </c>
      <c r="B89">
        <f>100*db!B89</f>
        <v>0.32486547823859219</v>
      </c>
      <c r="C89">
        <f>100*db!C89</f>
        <v>-16.149983571852928</v>
      </c>
      <c r="D89">
        <f>100*db!D89</f>
        <v>-2.0408163265306198</v>
      </c>
      <c r="E89">
        <f>100*db!E89</f>
        <v>1.4216084484159279</v>
      </c>
      <c r="F89">
        <f>100*db!F89</f>
        <v>-6.2462641960549306</v>
      </c>
      <c r="G89">
        <f>db!G89</f>
        <v>-2.2153179999999999</v>
      </c>
    </row>
    <row r="90" spans="1:7" x14ac:dyDescent="0.3">
      <c r="A90" t="s">
        <v>96</v>
      </c>
      <c r="B90">
        <f>100*db!B90</f>
        <v>0.69465445980992813</v>
      </c>
      <c r="C90">
        <f>100*db!C90</f>
        <v>-3.9752434313208811</v>
      </c>
      <c r="D90">
        <f>100*db!D90</f>
        <v>-0.49212598425196852</v>
      </c>
      <c r="E90">
        <f>100*db!E90</f>
        <v>1.0660106601066104</v>
      </c>
      <c r="F90">
        <f>100*db!F90</f>
        <v>-7.3780487804877515</v>
      </c>
      <c r="G90">
        <f>db!G90</f>
        <v>-1.741880166666667</v>
      </c>
    </row>
    <row r="91" spans="1:7" x14ac:dyDescent="0.3">
      <c r="A91" t="s">
        <v>97</v>
      </c>
      <c r="B91">
        <f>100*db!B91</f>
        <v>0.81244345338730961</v>
      </c>
      <c r="C91">
        <f>100*db!C91</f>
        <v>-1.7212007703607468</v>
      </c>
      <c r="D91">
        <f>100*db!D91</f>
        <v>-0.98425196850393704</v>
      </c>
      <c r="E91">
        <f>100*db!E91</f>
        <v>0.92369477911646469</v>
      </c>
      <c r="F91">
        <f>100*db!F91</f>
        <v>-6.0559483553642126</v>
      </c>
      <c r="G91">
        <f>db!G91</f>
        <v>-1.7170711999999999</v>
      </c>
    </row>
    <row r="92" spans="1:7" x14ac:dyDescent="0.3">
      <c r="A92" t="s">
        <v>98</v>
      </c>
      <c r="B92">
        <f>100*db!B92</f>
        <v>0.35490185317308348</v>
      </c>
      <c r="C92">
        <f>100*db!C92</f>
        <v>6.3929278260803262</v>
      </c>
      <c r="D92">
        <f>100*db!D92</f>
        <v>-1.0816125860373731</v>
      </c>
      <c r="E92">
        <f>100*db!E92</f>
        <v>0.32349373230893536</v>
      </c>
      <c r="F92">
        <f>100*db!F92</f>
        <v>-5.842137973896854</v>
      </c>
      <c r="G92">
        <f>db!G92</f>
        <v>-1.330040933333333</v>
      </c>
    </row>
    <row r="93" spans="1:7" x14ac:dyDescent="0.3">
      <c r="A93" t="s">
        <v>99</v>
      </c>
      <c r="B93">
        <f>100*db!B93</f>
        <v>-0.18699090585691849</v>
      </c>
      <c r="C93">
        <f>100*db!C93</f>
        <v>28.281650855662782</v>
      </c>
      <c r="D93">
        <f>100*db!D93</f>
        <v>-2.0833333333333282</v>
      </c>
      <c r="E93">
        <f>100*db!E93</f>
        <v>0.3203844613536232</v>
      </c>
      <c r="F93">
        <f>100*db!F93</f>
        <v>-4.0484539368824386</v>
      </c>
      <c r="G93">
        <f>db!G93</f>
        <v>-1.4029517666666671</v>
      </c>
    </row>
    <row r="94" spans="1:7" x14ac:dyDescent="0.3">
      <c r="A94" t="s">
        <v>100</v>
      </c>
      <c r="B94">
        <f>100*db!B94</f>
        <v>-6.0831657216705946</v>
      </c>
      <c r="C94">
        <f>100*db!C94</f>
        <v>-23.119055776576012</v>
      </c>
      <c r="D94">
        <f>100*db!D94</f>
        <v>-11.275964391691391</v>
      </c>
      <c r="E94">
        <f>100*db!E94</f>
        <v>0.20283975659228054</v>
      </c>
      <c r="F94">
        <f>100*db!F94</f>
        <v>-7.5707702435813342</v>
      </c>
      <c r="G94">
        <f>db!G94</f>
        <v>-1.5055409333333329</v>
      </c>
    </row>
    <row r="95" spans="1:7" x14ac:dyDescent="0.3">
      <c r="A95" t="s">
        <v>101</v>
      </c>
      <c r="B95">
        <f>100*db!B95</f>
        <v>-18.13401987091159</v>
      </c>
      <c r="C95">
        <f>100*db!C95</f>
        <v>-9.0484504250294595</v>
      </c>
      <c r="D95">
        <f>100*db!D95</f>
        <v>-25.944333996023861</v>
      </c>
      <c r="E95">
        <f>100*db!E95</f>
        <v>-0.19896538002388151</v>
      </c>
      <c r="F95">
        <f>100*db!F95</f>
        <v>-38.547120418848188</v>
      </c>
      <c r="G95">
        <f>db!G95</f>
        <v>-0.53400000000000003</v>
      </c>
    </row>
    <row r="96" spans="1:7" x14ac:dyDescent="0.3">
      <c r="A96" t="s">
        <v>102</v>
      </c>
      <c r="B96">
        <f>100*db!B96</f>
        <v>-6.0211094299724692</v>
      </c>
      <c r="C96">
        <f>100*db!C96</f>
        <v>-13.070623226882718</v>
      </c>
      <c r="D96">
        <f>100*db!D96</f>
        <v>-4.3737574552683816</v>
      </c>
      <c r="E96">
        <f>100*db!E96</f>
        <v>-0.28214429665457591</v>
      </c>
      <c r="F96">
        <f>100*db!F96</f>
        <v>-16.534653465346537</v>
      </c>
      <c r="G96">
        <f>db!G96</f>
        <v>-0.43840276666666672</v>
      </c>
    </row>
    <row r="97" spans="1:7" x14ac:dyDescent="0.3">
      <c r="A97" t="s">
        <v>103</v>
      </c>
      <c r="B97">
        <f>100*db!B97</f>
        <v>-5.5151426534827159</v>
      </c>
      <c r="C97">
        <f>100*db!C97</f>
        <v>-5.4175432605237717</v>
      </c>
      <c r="D97">
        <f>100*db!D97</f>
        <v>-2.4316109422492458</v>
      </c>
      <c r="E97">
        <f>100*db!E97</f>
        <v>-0.39920159680639855</v>
      </c>
      <c r="F97">
        <f>100*db!F97</f>
        <v>-10.299003322259107</v>
      </c>
      <c r="G97">
        <f>db!G97</f>
        <v>-0.2226948</v>
      </c>
    </row>
    <row r="98" spans="1:7" x14ac:dyDescent="0.3">
      <c r="A98" t="s">
        <v>104</v>
      </c>
      <c r="B98">
        <f>100*db!B98</f>
        <v>1.8450863915188009</v>
      </c>
      <c r="C98">
        <f>100*db!C98</f>
        <v>49.350483853478401</v>
      </c>
      <c r="D98">
        <f>100*db!D98</f>
        <v>9.3645484949832678</v>
      </c>
      <c r="E98">
        <f>100*db!E98</f>
        <v>0.72874493927126549</v>
      </c>
      <c r="F98">
        <f>100*db!F98</f>
        <v>5.8048433048433097</v>
      </c>
      <c r="G98">
        <f>db!G98</f>
        <v>-1.575779</v>
      </c>
    </row>
    <row r="99" spans="1:7" x14ac:dyDescent="0.3">
      <c r="A99" t="s">
        <v>105</v>
      </c>
      <c r="B99">
        <f>100*db!B99</f>
        <v>19.31833281658324</v>
      </c>
      <c r="C99">
        <f>100*db!C99</f>
        <v>30.806580048209479</v>
      </c>
      <c r="D99">
        <f>100*db!D99</f>
        <v>33.288590604026844</v>
      </c>
      <c r="E99">
        <f>100*db!E99</f>
        <v>1.1164274322169105</v>
      </c>
      <c r="F99">
        <f>100*db!F99</f>
        <v>79.552715654952081</v>
      </c>
      <c r="G99">
        <f>db!G99</f>
        <v>-2.3737181000000001</v>
      </c>
    </row>
    <row r="100" spans="1:7" x14ac:dyDescent="0.3">
      <c r="A100" t="s">
        <v>106</v>
      </c>
      <c r="B100">
        <f>100*db!B100</f>
        <v>6.9635721767467045</v>
      </c>
      <c r="C100">
        <f>100*db!C100</f>
        <v>34.382456845147907</v>
      </c>
      <c r="D100">
        <f>100*db!D100</f>
        <v>4.1580041580041582</v>
      </c>
      <c r="E100">
        <f>100*db!E100</f>
        <v>2.1422797089733212</v>
      </c>
      <c r="F100">
        <f>100*db!F100</f>
        <v>41.083432186634994</v>
      </c>
      <c r="G100">
        <f>db!G100</f>
        <v>-3.4124848666666669</v>
      </c>
    </row>
    <row r="101" spans="1:7" x14ac:dyDescent="0.3">
      <c r="A101" t="s">
        <v>107</v>
      </c>
      <c r="B101">
        <f>100*db!B101</f>
        <v>8.3982164791906371</v>
      </c>
      <c r="C101">
        <f>100*db!C101</f>
        <v>23.00165821892589</v>
      </c>
      <c r="D101">
        <f>100*db!D101</f>
        <v>4.8805815160955381</v>
      </c>
      <c r="E101">
        <f>100*db!E101</f>
        <v>3.8076152304609279</v>
      </c>
      <c r="F101">
        <f>100*db!F101</f>
        <v>32.629629629629669</v>
      </c>
      <c r="G101">
        <f>db!G101</f>
        <v>-5.2330432</v>
      </c>
    </row>
    <row r="102" spans="1:7" x14ac:dyDescent="0.3">
      <c r="A102" t="s">
        <v>108</v>
      </c>
      <c r="B102">
        <f>100*db!B102</f>
        <v>7.4350362046490455</v>
      </c>
      <c r="C102">
        <f>100*db!C102</f>
        <v>1.834484578830226</v>
      </c>
      <c r="D102">
        <f>100*db!D102</f>
        <v>1.4271151885830839</v>
      </c>
      <c r="E102">
        <f>100*db!E102</f>
        <v>6.0289389067524111</v>
      </c>
      <c r="F102">
        <f>100*db!F102</f>
        <v>10.063951531470886</v>
      </c>
      <c r="G102">
        <f>db!G102</f>
        <v>-6.6623592333333326</v>
      </c>
    </row>
    <row r="103" spans="1:7" x14ac:dyDescent="0.3">
      <c r="A103" t="s">
        <v>109</v>
      </c>
      <c r="B103">
        <f>100*db!B103</f>
        <v>6.3969783024296083</v>
      </c>
      <c r="C103">
        <f>100*db!C103</f>
        <v>-15.547736654942589</v>
      </c>
      <c r="D103">
        <f>100*db!D103</f>
        <v>2.0140986908358509</v>
      </c>
      <c r="E103">
        <f>100*db!E103</f>
        <v>7.413249211356467</v>
      </c>
      <c r="F103">
        <f>100*db!F103</f>
        <v>-6.7022538552787392</v>
      </c>
      <c r="G103">
        <f>db!G103</f>
        <v>-8.390949766666667</v>
      </c>
    </row>
    <row r="104" spans="1:7" x14ac:dyDescent="0.3">
      <c r="A104" t="s">
        <v>110</v>
      </c>
      <c r="B104">
        <f>100*db!B104</f>
        <v>4.0856666183084291</v>
      </c>
      <c r="C104">
        <f>100*db!C104</f>
        <v>-19.388631601195698</v>
      </c>
      <c r="D104">
        <f>100*db!D104</f>
        <v>0.39920159680637868</v>
      </c>
      <c r="E104">
        <f>100*db!E104</f>
        <v>8.9829837752275381</v>
      </c>
      <c r="F104">
        <f>100*db!F104</f>
        <v>-17.040358744394588</v>
      </c>
      <c r="G104">
        <f>db!G104</f>
        <v>-8.8192594333333343</v>
      </c>
    </row>
    <row r="105" spans="1:7" x14ac:dyDescent="0.3">
      <c r="A105" t="s">
        <v>111</v>
      </c>
      <c r="B105">
        <f>100*db!B105</f>
        <v>2.1735638952834799</v>
      </c>
      <c r="C105">
        <f>100*db!C105</f>
        <v>-13.310038783740961</v>
      </c>
      <c r="D105">
        <f>100*db!D105</f>
        <v>-2.178217821782181</v>
      </c>
      <c r="E105">
        <f>100*db!E105</f>
        <v>12.432432432432435</v>
      </c>
      <c r="F105">
        <f>100*db!F105</f>
        <v>-17.285674392627783</v>
      </c>
      <c r="G105">
        <f>db!G105</f>
        <v>-8.1945432666666669</v>
      </c>
    </row>
    <row r="106" spans="1:7" x14ac:dyDescent="0.3">
      <c r="A106" t="s">
        <v>112</v>
      </c>
      <c r="B106">
        <f>100*db!B106</f>
        <v>2.0653435006332361</v>
      </c>
      <c r="C106">
        <f>100*db!C106</f>
        <v>7.7519905950588734</v>
      </c>
      <c r="D106">
        <f>100*db!D106</f>
        <v>-0.60301507537687871</v>
      </c>
      <c r="E106">
        <f>100*db!E106</f>
        <v>9.5147839272175805</v>
      </c>
      <c r="F106">
        <f>100*db!F106</f>
        <v>-5.8715596330275277</v>
      </c>
      <c r="G106">
        <f>db!G106</f>
        <v>-5.3680737333333326</v>
      </c>
    </row>
    <row r="107" spans="1:7" x14ac:dyDescent="0.3">
      <c r="A107" t="s">
        <v>113</v>
      </c>
      <c r="B107">
        <f>100*db!B107</f>
        <v>0.52334557380480462</v>
      </c>
      <c r="C107">
        <f>100*db!C107</f>
        <v>32.199910486625441</v>
      </c>
      <c r="D107">
        <f>100*db!D107</f>
        <v>-3.4550839091806509</v>
      </c>
      <c r="E107">
        <f>100*db!E107</f>
        <v>7.782672540381788</v>
      </c>
      <c r="F107">
        <f>100*db!F107</f>
        <v>-2.5111252383980256</v>
      </c>
      <c r="G107">
        <f>db!G107</f>
        <v>-2.8435671999999999</v>
      </c>
    </row>
    <row r="108" spans="1:7" x14ac:dyDescent="0.3">
      <c r="A108" t="s">
        <v>114</v>
      </c>
      <c r="B108">
        <f>100*db!B108</f>
        <v>0.46256773002073798</v>
      </c>
      <c r="C108">
        <f>100*db!C108</f>
        <v>36.778822182255801</v>
      </c>
      <c r="D108">
        <f>100*db!D108</f>
        <v>-2.783300198807154</v>
      </c>
      <c r="E108">
        <f>100*db!E108</f>
        <v>5.8097312999273729</v>
      </c>
      <c r="F108">
        <f>100*db!F108</f>
        <v>0.7432432432432442</v>
      </c>
      <c r="G108">
        <f>db!G108</f>
        <v>-1.1559462</v>
      </c>
    </row>
    <row r="109" spans="1:7" x14ac:dyDescent="0.3">
      <c r="A109" t="s">
        <v>115</v>
      </c>
      <c r="B109">
        <f>100*db!B109</f>
        <v>1.0435769801763981</v>
      </c>
      <c r="C109">
        <f>100*db!C109</f>
        <v>28.028293131420668</v>
      </c>
      <c r="D109">
        <f>100*db!D109</f>
        <v>-1.619433198380561</v>
      </c>
      <c r="E109">
        <f>100*db!E109</f>
        <v>0.99587912087912289</v>
      </c>
      <c r="F109">
        <f>100*db!F109</f>
        <v>-0.87778528021606361</v>
      </c>
      <c r="G109">
        <f>db!G109</f>
        <v>1.2241226666666669</v>
      </c>
    </row>
    <row r="110" spans="1:7" x14ac:dyDescent="0.3">
      <c r="A110" t="s">
        <v>116</v>
      </c>
      <c r="B110">
        <f>100*db!B110</f>
        <v>0.52758085089767204</v>
      </c>
      <c r="C110">
        <f>100*db!C110</f>
        <v>28.164083733989049</v>
      </c>
      <c r="D110">
        <f>100*db!D110</f>
        <v>-3.538928210313447</v>
      </c>
      <c r="E110">
        <f>100*db!E110</f>
        <v>1.0038075458636226</v>
      </c>
      <c r="F110">
        <f>100*db!F110</f>
        <v>-2.3716699155295271</v>
      </c>
      <c r="G110">
        <f>db!G110</f>
        <v>1.323614733333333</v>
      </c>
    </row>
    <row r="111" spans="1:7" x14ac:dyDescent="0.3">
      <c r="A111" t="s">
        <v>117</v>
      </c>
      <c r="B111">
        <f>100*db!B111</f>
        <v>0.72626619348009347</v>
      </c>
      <c r="C111">
        <f>100*db!C111</f>
        <v>19.431640820183649</v>
      </c>
      <c r="D111">
        <f>100*db!D111</f>
        <v>-3.4764826175869032</v>
      </c>
      <c r="E111">
        <f>100*db!E111</f>
        <v>0.85149863760218958</v>
      </c>
      <c r="F111">
        <f>100*db!F111</f>
        <v>-2.0215194000651517</v>
      </c>
      <c r="G111">
        <f>db!G111</f>
        <v>1.308171933333333</v>
      </c>
    </row>
    <row r="112" spans="1:7" x14ac:dyDescent="0.3">
      <c r="A112" t="s">
        <v>118</v>
      </c>
      <c r="B112">
        <f>100*db!B112</f>
        <v>0.65293735096466521</v>
      </c>
      <c r="C112">
        <f>100*db!C112</f>
        <v>19.572194431682892</v>
      </c>
      <c r="D112">
        <f>100*db!D112</f>
        <v>-4.4989775051124665</v>
      </c>
      <c r="E112">
        <f>100*db!E112</f>
        <v>1.2010981468771498</v>
      </c>
      <c r="F112">
        <f>100*db!F112</f>
        <v>0.20120724346076743</v>
      </c>
      <c r="G112">
        <f>db!G112</f>
        <v>1.3887104333333331</v>
      </c>
    </row>
    <row r="113" spans="1:7" x14ac:dyDescent="0.3">
      <c r="A113" t="s">
        <v>119</v>
      </c>
      <c r="B113">
        <f>100*db!B113</f>
        <v>0.43904757789204929</v>
      </c>
      <c r="C113">
        <f>100*db!C113</f>
        <v>12.6338200694977</v>
      </c>
      <c r="D113">
        <f>100*db!D113</f>
        <v>-4.32098765432099</v>
      </c>
      <c r="E113">
        <f>100*db!E113</f>
        <v>1.2580754845290727</v>
      </c>
      <c r="F113">
        <f>100*db!F113</f>
        <v>0.95367847411443074</v>
      </c>
      <c r="G113">
        <f>db!G113</f>
        <v>0.79648716666666663</v>
      </c>
    </row>
    <row r="114" spans="1:7" x14ac:dyDescent="0.3">
      <c r="A114" t="s">
        <v>120</v>
      </c>
      <c r="B114">
        <f>100*db!B114</f>
        <v>0.65601505381913416</v>
      </c>
      <c r="C114">
        <f>100*db!C114</f>
        <v>10.95537722064587</v>
      </c>
      <c r="D114">
        <f>100*db!D114</f>
        <v>-1.991614255765205</v>
      </c>
      <c r="E114">
        <f>100*db!E114</f>
        <v>1.8163125428375591</v>
      </c>
      <c r="F114">
        <f>100*db!F114</f>
        <v>-1.1647254575707482</v>
      </c>
      <c r="G114">
        <f>db!G114</f>
        <v>0.22350300000000001</v>
      </c>
    </row>
    <row r="115" spans="1:7" x14ac:dyDescent="0.3">
      <c r="A115" t="s">
        <v>121</v>
      </c>
      <c r="B115">
        <f>100*db!B115</f>
        <v>0.46604183177698627</v>
      </c>
      <c r="C115">
        <f>100*db!C115</f>
        <v>17.334973943423059</v>
      </c>
      <c r="D115">
        <f>100*db!D115</f>
        <v>-0.63559322033899202</v>
      </c>
      <c r="E115">
        <f>100*db!E115</f>
        <v>1.8237082066869272</v>
      </c>
      <c r="F115">
        <f>100*db!F115</f>
        <v>-2.2296173044925411</v>
      </c>
      <c r="G115">
        <f>db!G115</f>
        <v>7.4357833333333331E-2</v>
      </c>
    </row>
    <row r="116" spans="1:7" x14ac:dyDescent="0.3">
      <c r="A116" t="s">
        <v>122</v>
      </c>
      <c r="B116">
        <f>100*db!B116</f>
        <v>0.69436068850255639</v>
      </c>
      <c r="C116">
        <f>100*db!C116</f>
        <v>27.563524706679949</v>
      </c>
      <c r="D116">
        <f>100*db!D116</f>
        <v>0.32119914346894773</v>
      </c>
      <c r="E116">
        <f>100*db!E116</f>
        <v>1.6954899966090249</v>
      </c>
      <c r="F116">
        <f>100*db!F116</f>
        <v>-0.4016064257028169</v>
      </c>
      <c r="G116">
        <f>db!G116</f>
        <v>-5.509476666666667E-2</v>
      </c>
    </row>
    <row r="117" spans="1:7" x14ac:dyDescent="0.3">
      <c r="A117" t="s">
        <v>123</v>
      </c>
      <c r="B117">
        <f>100*db!B117</f>
        <v>0.83811621763486344</v>
      </c>
      <c r="C117">
        <f>100*db!C117</f>
        <v>31.469891837466889</v>
      </c>
      <c r="D117">
        <f>100*db!D117</f>
        <v>1.182795698924725</v>
      </c>
      <c r="E117">
        <f>100*db!E117</f>
        <v>1.2088650100739067</v>
      </c>
      <c r="F117">
        <f>100*db!F117</f>
        <v>2.5303643724696356</v>
      </c>
      <c r="G117">
        <f>db!G117</f>
        <v>8.1700000000000019E-3</v>
      </c>
    </row>
    <row r="118" spans="1:7" x14ac:dyDescent="0.3">
      <c r="A118" t="s">
        <v>124</v>
      </c>
      <c r="B118">
        <f>100*db!B118</f>
        <v>0</v>
      </c>
      <c r="C118">
        <f>100*db!C118</f>
        <v>0</v>
      </c>
      <c r="D118">
        <f>100*db!D118</f>
        <v>0</v>
      </c>
      <c r="E118">
        <f>100*db!E118</f>
        <v>1.3463480309660432</v>
      </c>
      <c r="F118">
        <f>100*db!F118</f>
        <v>2.7946127946128221</v>
      </c>
      <c r="G118">
        <f>db!G118</f>
        <v>-0.13964499999999999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1"/>
  <sheetViews>
    <sheetView workbookViewId="0">
      <selection activeCell="F16" sqref="F16"/>
    </sheetView>
  </sheetViews>
  <sheetFormatPr defaultRowHeight="14.4" x14ac:dyDescent="0.3"/>
  <sheetData>
    <row r="1" spans="1:3" x14ac:dyDescent="0.3">
      <c r="B1" s="23" t="s">
        <v>128</v>
      </c>
      <c r="C1" s="23" t="s">
        <v>129</v>
      </c>
    </row>
    <row r="2" spans="1:3" x14ac:dyDescent="0.3">
      <c r="A2" s="5" t="s">
        <v>4</v>
      </c>
      <c r="B2" s="2">
        <v>96.582999999999998</v>
      </c>
      <c r="C2" s="6"/>
    </row>
    <row r="3" spans="1:3" x14ac:dyDescent="0.3">
      <c r="A3" s="5" t="s">
        <v>5</v>
      </c>
      <c r="B3" s="1">
        <v>96.721999999999994</v>
      </c>
      <c r="C3" s="7"/>
    </row>
    <row r="4" spans="1:3" x14ac:dyDescent="0.3">
      <c r="A4" s="5" t="s">
        <v>6</v>
      </c>
      <c r="B4" s="2">
        <v>96.891999999999996</v>
      </c>
      <c r="C4" s="6"/>
    </row>
    <row r="5" spans="1:3" x14ac:dyDescent="0.3">
      <c r="A5" s="5" t="s">
        <v>7</v>
      </c>
      <c r="B5" s="1">
        <v>96.575000000000003</v>
      </c>
      <c r="C5" s="7"/>
    </row>
    <row r="6" spans="1:3" x14ac:dyDescent="0.3">
      <c r="A6" s="5" t="s">
        <v>8</v>
      </c>
      <c r="B6" s="2">
        <v>96.852000000000004</v>
      </c>
      <c r="C6" s="22">
        <f t="shared" ref="C6:C37" si="0">(B6-B2)/B2</f>
        <v>2.7851692326807558E-3</v>
      </c>
    </row>
    <row r="7" spans="1:3" x14ac:dyDescent="0.3">
      <c r="A7" s="5" t="s">
        <v>9</v>
      </c>
      <c r="B7" s="8">
        <v>98.42</v>
      </c>
      <c r="C7" s="22">
        <f t="shared" si="0"/>
        <v>1.7555468249209151E-2</v>
      </c>
    </row>
    <row r="8" spans="1:3" x14ac:dyDescent="0.3">
      <c r="A8" s="5" t="s">
        <v>10</v>
      </c>
      <c r="B8" s="2">
        <v>98.834000000000003</v>
      </c>
      <c r="C8" s="22">
        <f t="shared" si="0"/>
        <v>2.0042934401189028E-2</v>
      </c>
    </row>
    <row r="9" spans="1:3" x14ac:dyDescent="0.3">
      <c r="A9" s="5" t="s">
        <v>11</v>
      </c>
      <c r="B9" s="1">
        <v>100.304</v>
      </c>
      <c r="C9" s="22">
        <f t="shared" si="0"/>
        <v>3.8612477349210451E-2</v>
      </c>
    </row>
    <row r="10" spans="1:3" x14ac:dyDescent="0.3">
      <c r="A10" s="5" t="s">
        <v>12</v>
      </c>
      <c r="B10" s="2">
        <v>99.832999999999998</v>
      </c>
      <c r="C10" s="22">
        <f t="shared" si="0"/>
        <v>3.0778920414653226E-2</v>
      </c>
    </row>
    <row r="11" spans="1:3" x14ac:dyDescent="0.3">
      <c r="A11" s="5" t="s">
        <v>13</v>
      </c>
      <c r="B11" s="1">
        <v>100.393</v>
      </c>
      <c r="C11" s="22">
        <f t="shared" si="0"/>
        <v>2.0046738467791089E-2</v>
      </c>
    </row>
    <row r="12" spans="1:3" x14ac:dyDescent="0.3">
      <c r="A12" s="5" t="s">
        <v>14</v>
      </c>
      <c r="B12" s="2">
        <v>100.489</v>
      </c>
      <c r="C12" s="22">
        <f t="shared" si="0"/>
        <v>1.6745249610457952E-2</v>
      </c>
    </row>
    <row r="13" spans="1:3" x14ac:dyDescent="0.3">
      <c r="A13" s="5" t="s">
        <v>15</v>
      </c>
      <c r="B13" s="1">
        <v>100.15900000000001</v>
      </c>
      <c r="C13" s="22">
        <f t="shared" si="0"/>
        <v>-1.4456053597064525E-3</v>
      </c>
    </row>
    <row r="14" spans="1:3" x14ac:dyDescent="0.3">
      <c r="A14" s="5" t="s">
        <v>16</v>
      </c>
      <c r="B14" s="2">
        <v>100.626</v>
      </c>
      <c r="C14" s="22">
        <f t="shared" si="0"/>
        <v>7.943265252972528E-3</v>
      </c>
    </row>
    <row r="15" spans="1:3" x14ac:dyDescent="0.3">
      <c r="A15" s="5" t="s">
        <v>17</v>
      </c>
      <c r="B15" s="1">
        <v>101.03400000000001</v>
      </c>
      <c r="C15" s="22">
        <f t="shared" si="0"/>
        <v>6.3849073142550313E-3</v>
      </c>
    </row>
    <row r="16" spans="1:3" x14ac:dyDescent="0.3">
      <c r="A16" s="5" t="s">
        <v>18</v>
      </c>
      <c r="B16" s="2">
        <v>102.095</v>
      </c>
      <c r="C16" s="22">
        <f t="shared" si="0"/>
        <v>1.5981848759565667E-2</v>
      </c>
    </row>
    <row r="17" spans="1:3" x14ac:dyDescent="0.3">
      <c r="A17" s="5" t="s">
        <v>19</v>
      </c>
      <c r="B17" s="1">
        <v>103.655</v>
      </c>
      <c r="C17" s="22">
        <f t="shared" si="0"/>
        <v>3.4904501842071056E-2</v>
      </c>
    </row>
    <row r="18" spans="1:3" x14ac:dyDescent="0.3">
      <c r="A18" s="5" t="s">
        <v>20</v>
      </c>
      <c r="B18" s="9">
        <v>104.91</v>
      </c>
      <c r="C18" s="22">
        <f t="shared" si="0"/>
        <v>4.2573489952894797E-2</v>
      </c>
    </row>
    <row r="19" spans="1:3" x14ac:dyDescent="0.3">
      <c r="A19" s="5" t="s">
        <v>21</v>
      </c>
      <c r="B19" s="1">
        <v>105.58499999999999</v>
      </c>
      <c r="C19" s="22">
        <f t="shared" si="0"/>
        <v>4.5044242532216755E-2</v>
      </c>
    </row>
    <row r="20" spans="1:3" x14ac:dyDescent="0.3">
      <c r="A20" s="5" t="s">
        <v>22</v>
      </c>
      <c r="B20" s="2">
        <v>106.515</v>
      </c>
      <c r="C20" s="22">
        <f t="shared" si="0"/>
        <v>4.3293011410940808E-2</v>
      </c>
    </row>
    <row r="21" spans="1:3" x14ac:dyDescent="0.3">
      <c r="A21" s="5" t="s">
        <v>23</v>
      </c>
      <c r="B21" s="1">
        <v>107.539</v>
      </c>
      <c r="C21" s="22">
        <f t="shared" si="0"/>
        <v>3.7470454874342772E-2</v>
      </c>
    </row>
    <row r="22" spans="1:3" x14ac:dyDescent="0.3">
      <c r="A22" s="5" t="s">
        <v>24</v>
      </c>
      <c r="B22" s="2">
        <v>108.44799999999999</v>
      </c>
      <c r="C22" s="22">
        <f t="shared" si="0"/>
        <v>3.3724144504813619E-2</v>
      </c>
    </row>
    <row r="23" spans="1:3" x14ac:dyDescent="0.3">
      <c r="A23" s="5" t="s">
        <v>25</v>
      </c>
      <c r="B23" s="1">
        <v>108.361</v>
      </c>
      <c r="C23" s="22">
        <f t="shared" si="0"/>
        <v>2.6291613392053895E-2</v>
      </c>
    </row>
    <row r="24" spans="1:3" x14ac:dyDescent="0.3">
      <c r="A24" s="5" t="s">
        <v>26</v>
      </c>
      <c r="B24" s="2">
        <v>107.896</v>
      </c>
      <c r="C24" s="22">
        <f t="shared" si="0"/>
        <v>1.296531005022767E-2</v>
      </c>
    </row>
    <row r="25" spans="1:3" x14ac:dyDescent="0.3">
      <c r="A25" s="5" t="s">
        <v>27</v>
      </c>
      <c r="B25" s="1">
        <v>107.736</v>
      </c>
      <c r="C25" s="22">
        <f t="shared" si="0"/>
        <v>1.8318935455974366E-3</v>
      </c>
    </row>
    <row r="26" spans="1:3" x14ac:dyDescent="0.3">
      <c r="A26" s="5" t="s">
        <v>28</v>
      </c>
      <c r="B26" s="2">
        <v>107.895</v>
      </c>
      <c r="C26" s="22">
        <f t="shared" si="0"/>
        <v>-5.0992180584242888E-3</v>
      </c>
    </row>
    <row r="27" spans="1:3" x14ac:dyDescent="0.3">
      <c r="A27" s="5" t="s">
        <v>29</v>
      </c>
      <c r="B27" s="1">
        <v>108.239</v>
      </c>
      <c r="C27" s="22">
        <f t="shared" si="0"/>
        <v>-1.1258663172174479E-3</v>
      </c>
    </row>
    <row r="28" spans="1:3" x14ac:dyDescent="0.3">
      <c r="A28" s="5" t="s">
        <v>30</v>
      </c>
      <c r="B28" s="2">
        <v>108.36499999999999</v>
      </c>
      <c r="C28" s="22">
        <f t="shared" si="0"/>
        <v>4.3467783791798966E-3</v>
      </c>
    </row>
    <row r="29" spans="1:3" x14ac:dyDescent="0.3">
      <c r="A29" s="5" t="s">
        <v>31</v>
      </c>
      <c r="B29" s="8">
        <v>109.01</v>
      </c>
      <c r="C29" s="22">
        <f t="shared" si="0"/>
        <v>1.182520234647658E-2</v>
      </c>
    </row>
    <row r="30" spans="1:3" x14ac:dyDescent="0.3">
      <c r="A30" s="5" t="s">
        <v>32</v>
      </c>
      <c r="B30" s="2">
        <v>108.583</v>
      </c>
      <c r="C30" s="22">
        <f t="shared" si="0"/>
        <v>6.3765698132443802E-3</v>
      </c>
    </row>
    <row r="31" spans="1:3" x14ac:dyDescent="0.3">
      <c r="A31" s="5" t="s">
        <v>33</v>
      </c>
      <c r="B31" s="1">
        <v>108.331</v>
      </c>
      <c r="C31" s="22">
        <f t="shared" si="0"/>
        <v>8.4997089773555508E-4</v>
      </c>
    </row>
    <row r="32" spans="1:3" x14ac:dyDescent="0.3">
      <c r="A32" s="5" t="s">
        <v>34</v>
      </c>
      <c r="B32" s="2">
        <v>108.084</v>
      </c>
      <c r="C32" s="22">
        <f t="shared" si="0"/>
        <v>-2.5930881742259192E-3</v>
      </c>
    </row>
    <row r="33" spans="1:3" x14ac:dyDescent="0.3">
      <c r="A33" s="5" t="s">
        <v>35</v>
      </c>
      <c r="B33" s="1">
        <v>109.145</v>
      </c>
      <c r="C33" s="22">
        <f t="shared" si="0"/>
        <v>1.2384184937160893E-3</v>
      </c>
    </row>
    <row r="34" spans="1:3" x14ac:dyDescent="0.3">
      <c r="A34" s="5" t="s">
        <v>36</v>
      </c>
      <c r="B34" s="2">
        <v>109.53100000000001</v>
      </c>
      <c r="C34" s="22">
        <f t="shared" si="0"/>
        <v>8.7306484440474799E-3</v>
      </c>
    </row>
    <row r="35" spans="1:3" x14ac:dyDescent="0.3">
      <c r="A35" s="5" t="s">
        <v>37</v>
      </c>
      <c r="B35" s="1">
        <v>109.86499999999999</v>
      </c>
      <c r="C35" s="22">
        <f t="shared" si="0"/>
        <v>1.416030499118435E-2</v>
      </c>
    </row>
    <row r="36" spans="1:3" x14ac:dyDescent="0.3">
      <c r="A36" s="5" t="s">
        <v>38</v>
      </c>
      <c r="B36" s="2">
        <v>109.973</v>
      </c>
      <c r="C36" s="22">
        <f t="shared" si="0"/>
        <v>1.7477147403871025E-2</v>
      </c>
    </row>
    <row r="37" spans="1:3" x14ac:dyDescent="0.3">
      <c r="A37" s="5" t="s">
        <v>39</v>
      </c>
      <c r="B37" s="1">
        <v>110.218</v>
      </c>
      <c r="C37" s="22">
        <f t="shared" si="0"/>
        <v>9.8309588162536765E-3</v>
      </c>
    </row>
    <row r="38" spans="1:3" x14ac:dyDescent="0.3">
      <c r="A38" s="5" t="s">
        <v>40</v>
      </c>
      <c r="B38" s="2">
        <v>110.051</v>
      </c>
      <c r="C38" s="22">
        <f t="shared" ref="C38:C69" si="1">(B38-B34)/B34</f>
        <v>4.74751440231529E-3</v>
      </c>
    </row>
    <row r="39" spans="1:3" x14ac:dyDescent="0.3">
      <c r="A39" s="5" t="s">
        <v>41</v>
      </c>
      <c r="B39" s="1">
        <v>110.95099999999999</v>
      </c>
      <c r="C39" s="22">
        <f t="shared" si="1"/>
        <v>9.8848586902107009E-3</v>
      </c>
    </row>
    <row r="40" spans="1:3" x14ac:dyDescent="0.3">
      <c r="A40" s="5" t="s">
        <v>42</v>
      </c>
      <c r="B40" s="2">
        <v>111.551</v>
      </c>
      <c r="C40" s="22">
        <f t="shared" si="1"/>
        <v>1.4348976566975558E-2</v>
      </c>
    </row>
    <row r="41" spans="1:3" x14ac:dyDescent="0.3">
      <c r="A41" s="5" t="s">
        <v>43</v>
      </c>
      <c r="B41" s="8">
        <v>112.06</v>
      </c>
      <c r="C41" s="22">
        <f t="shared" si="1"/>
        <v>1.6712333738590782E-2</v>
      </c>
    </row>
    <row r="42" spans="1:3" x14ac:dyDescent="0.3">
      <c r="A42" s="5" t="s">
        <v>44</v>
      </c>
      <c r="B42" s="2">
        <v>112.43600000000001</v>
      </c>
      <c r="C42" s="22">
        <f t="shared" si="1"/>
        <v>2.1671770361014486E-2</v>
      </c>
    </row>
    <row r="43" spans="1:3" x14ac:dyDescent="0.3">
      <c r="A43" s="5" t="s">
        <v>45</v>
      </c>
      <c r="B43" s="1">
        <v>112.792</v>
      </c>
      <c r="C43" s="22">
        <f t="shared" si="1"/>
        <v>1.6592910383863221E-2</v>
      </c>
    </row>
    <row r="44" spans="1:3" x14ac:dyDescent="0.3">
      <c r="A44" s="5" t="s">
        <v>46</v>
      </c>
      <c r="B44" s="9">
        <v>113.13</v>
      </c>
      <c r="C44" s="22">
        <f t="shared" si="1"/>
        <v>1.4154960511335564E-2</v>
      </c>
    </row>
    <row r="45" spans="1:3" x14ac:dyDescent="0.3">
      <c r="A45" s="5" t="s">
        <v>47</v>
      </c>
      <c r="B45" s="1">
        <v>114.685</v>
      </c>
      <c r="C45" s="22">
        <f t="shared" si="1"/>
        <v>2.3424950919150454E-2</v>
      </c>
    </row>
    <row r="46" spans="1:3" x14ac:dyDescent="0.3">
      <c r="A46" s="5" t="s">
        <v>48</v>
      </c>
      <c r="B46" s="2">
        <v>114.57599999999999</v>
      </c>
      <c r="C46" s="22">
        <f t="shared" si="1"/>
        <v>1.9033049912839183E-2</v>
      </c>
    </row>
    <row r="47" spans="1:3" x14ac:dyDescent="0.3">
      <c r="A47" s="5" t="s">
        <v>49</v>
      </c>
      <c r="B47" s="1">
        <v>114.854</v>
      </c>
      <c r="C47" s="22">
        <f t="shared" si="1"/>
        <v>1.8281438399886496E-2</v>
      </c>
    </row>
    <row r="48" spans="1:3" x14ac:dyDescent="0.3">
      <c r="A48" s="5" t="s">
        <v>50</v>
      </c>
      <c r="B48" s="2">
        <v>114.83199999999999</v>
      </c>
      <c r="C48" s="22">
        <f t="shared" si="1"/>
        <v>1.5044638910987344E-2</v>
      </c>
    </row>
    <row r="49" spans="1:3" x14ac:dyDescent="0.3">
      <c r="A49" s="5" t="s">
        <v>51</v>
      </c>
      <c r="B49" s="1">
        <v>114.59099999999999</v>
      </c>
      <c r="C49" s="22">
        <f t="shared" si="1"/>
        <v>-8.1963639534384002E-4</v>
      </c>
    </row>
    <row r="50" spans="1:3" x14ac:dyDescent="0.3">
      <c r="A50" s="5" t="s">
        <v>52</v>
      </c>
      <c r="B50" s="2">
        <v>115.845</v>
      </c>
      <c r="C50" s="22">
        <f t="shared" si="1"/>
        <v>1.1075617930456689E-2</v>
      </c>
    </row>
    <row r="51" spans="1:3" x14ac:dyDescent="0.3">
      <c r="A51" s="5" t="s">
        <v>53</v>
      </c>
      <c r="B51" s="1">
        <v>114.76600000000001</v>
      </c>
      <c r="C51" s="22">
        <f t="shared" si="1"/>
        <v>-7.6619011963008571E-4</v>
      </c>
    </row>
    <row r="52" spans="1:3" x14ac:dyDescent="0.3">
      <c r="A52" s="5" t="s">
        <v>54</v>
      </c>
      <c r="B52" s="2">
        <v>113.039</v>
      </c>
      <c r="C52" s="22">
        <f t="shared" si="1"/>
        <v>-1.5614114532534418E-2</v>
      </c>
    </row>
    <row r="53" spans="1:3" x14ac:dyDescent="0.3">
      <c r="A53" s="5" t="s">
        <v>55</v>
      </c>
      <c r="B53" s="1">
        <v>110.343</v>
      </c>
      <c r="C53" s="22">
        <f t="shared" si="1"/>
        <v>-3.7070974160274286E-2</v>
      </c>
    </row>
    <row r="54" spans="1:3" x14ac:dyDescent="0.3">
      <c r="A54" s="5" t="s">
        <v>56</v>
      </c>
      <c r="B54" s="2">
        <v>107.634</v>
      </c>
      <c r="C54" s="22">
        <f t="shared" si="1"/>
        <v>-7.0879192023824922E-2</v>
      </c>
    </row>
    <row r="55" spans="1:3" x14ac:dyDescent="0.3">
      <c r="A55" s="5" t="s">
        <v>57</v>
      </c>
      <c r="B55" s="1">
        <v>107.056</v>
      </c>
      <c r="C55" s="22">
        <f t="shared" si="1"/>
        <v>-6.7180175313246146E-2</v>
      </c>
    </row>
    <row r="56" spans="1:3" x14ac:dyDescent="0.3">
      <c r="A56" s="5" t="s">
        <v>58</v>
      </c>
      <c r="B56" s="2">
        <v>107.416</v>
      </c>
      <c r="C56" s="22">
        <f t="shared" si="1"/>
        <v>-4.9743893700404329E-2</v>
      </c>
    </row>
    <row r="57" spans="1:3" x14ac:dyDescent="0.3">
      <c r="A57" s="5" t="s">
        <v>59</v>
      </c>
      <c r="B57" s="1">
        <v>107.70399999999999</v>
      </c>
      <c r="C57" s="22">
        <f t="shared" si="1"/>
        <v>-2.3916333614275576E-2</v>
      </c>
    </row>
    <row r="58" spans="1:3" x14ac:dyDescent="0.3">
      <c r="A58" s="5" t="s">
        <v>60</v>
      </c>
      <c r="B58" s="2">
        <v>108.116</v>
      </c>
      <c r="C58" s="22">
        <f t="shared" si="1"/>
        <v>4.4781388780496803E-3</v>
      </c>
    </row>
    <row r="59" spans="1:3" x14ac:dyDescent="0.3">
      <c r="A59" s="5" t="s">
        <v>61</v>
      </c>
      <c r="B59" s="1">
        <v>108.84699999999999</v>
      </c>
      <c r="C59" s="22">
        <f t="shared" si="1"/>
        <v>1.6729562098341026E-2</v>
      </c>
    </row>
    <row r="60" spans="1:3" x14ac:dyDescent="0.3">
      <c r="A60" s="5" t="s">
        <v>62</v>
      </c>
      <c r="B60" s="2">
        <v>109.136</v>
      </c>
      <c r="C60" s="22">
        <f t="shared" si="1"/>
        <v>1.6012512102480066E-2</v>
      </c>
    </row>
    <row r="61" spans="1:3" x14ac:dyDescent="0.3">
      <c r="A61" s="5" t="s">
        <v>63</v>
      </c>
      <c r="B61" s="1">
        <v>110.07299999999999</v>
      </c>
      <c r="C61" s="22">
        <f t="shared" si="1"/>
        <v>2.1995469063358836E-2</v>
      </c>
    </row>
    <row r="62" spans="1:3" x14ac:dyDescent="0.3">
      <c r="A62" s="5" t="s">
        <v>64</v>
      </c>
      <c r="B62" s="2">
        <v>110.697</v>
      </c>
      <c r="C62" s="22">
        <f t="shared" si="1"/>
        <v>2.387250730696662E-2</v>
      </c>
    </row>
    <row r="63" spans="1:3" x14ac:dyDescent="0.3">
      <c r="A63" s="5" t="s">
        <v>65</v>
      </c>
      <c r="B63" s="1">
        <v>110.43300000000001</v>
      </c>
      <c r="C63" s="22">
        <f t="shared" si="1"/>
        <v>1.4570911462879204E-2</v>
      </c>
    </row>
    <row r="64" spans="1:3" x14ac:dyDescent="0.3">
      <c r="A64" s="5" t="s">
        <v>66</v>
      </c>
      <c r="B64" s="2">
        <v>109.928</v>
      </c>
      <c r="C64" s="22">
        <f t="shared" si="1"/>
        <v>7.2570004398182231E-3</v>
      </c>
    </row>
    <row r="65" spans="1:3" x14ac:dyDescent="0.3">
      <c r="A65" s="5" t="s">
        <v>67</v>
      </c>
      <c r="B65" s="1">
        <v>108.852</v>
      </c>
      <c r="C65" s="22">
        <f t="shared" si="1"/>
        <v>-1.1092638521708225E-2</v>
      </c>
    </row>
    <row r="66" spans="1:3" x14ac:dyDescent="0.3">
      <c r="A66" s="5" t="s">
        <v>68</v>
      </c>
      <c r="B66" s="2">
        <v>107.718</v>
      </c>
      <c r="C66" s="22">
        <f t="shared" si="1"/>
        <v>-2.6911298409170972E-2</v>
      </c>
    </row>
    <row r="67" spans="1:3" x14ac:dyDescent="0.3">
      <c r="A67" s="5" t="s">
        <v>69</v>
      </c>
      <c r="B67" s="1">
        <v>106.819</v>
      </c>
      <c r="C67" s="22">
        <f t="shared" si="1"/>
        <v>-3.2725725100287088E-2</v>
      </c>
    </row>
    <row r="68" spans="1:3" x14ac:dyDescent="0.3">
      <c r="A68" s="5" t="s">
        <v>70</v>
      </c>
      <c r="B68" s="9">
        <v>106.11</v>
      </c>
      <c r="C68" s="22">
        <f t="shared" si="1"/>
        <v>-3.4731824466923786E-2</v>
      </c>
    </row>
    <row r="69" spans="1:3" x14ac:dyDescent="0.3">
      <c r="A69" s="5" t="s">
        <v>71</v>
      </c>
      <c r="B69" s="1">
        <v>105.295</v>
      </c>
      <c r="C69" s="22">
        <f t="shared" si="1"/>
        <v>-3.2677396832396302E-2</v>
      </c>
    </row>
    <row r="70" spans="1:3" x14ac:dyDescent="0.3">
      <c r="A70" s="5" t="s">
        <v>72</v>
      </c>
      <c r="B70" s="2">
        <v>104.423</v>
      </c>
      <c r="C70" s="22">
        <f t="shared" ref="C70:C101" si="2">(B70-B66)/B66</f>
        <v>-3.0589130878776079E-2</v>
      </c>
    </row>
    <row r="71" spans="1:3" x14ac:dyDescent="0.3">
      <c r="A71" s="5" t="s">
        <v>73</v>
      </c>
      <c r="B71" s="1">
        <v>104.398</v>
      </c>
      <c r="C71" s="22">
        <f t="shared" si="2"/>
        <v>-2.2664507250582822E-2</v>
      </c>
    </row>
    <row r="72" spans="1:3" x14ac:dyDescent="0.3">
      <c r="A72" s="5" t="s">
        <v>74</v>
      </c>
      <c r="B72" s="2">
        <v>104.747</v>
      </c>
      <c r="C72" s="22">
        <f t="shared" si="2"/>
        <v>-1.2845160682310805E-2</v>
      </c>
    </row>
    <row r="73" spans="1:3" x14ac:dyDescent="0.3">
      <c r="A73" s="5" t="s">
        <v>75</v>
      </c>
      <c r="B73" s="1">
        <v>104.593</v>
      </c>
      <c r="C73" s="22">
        <f t="shared" si="2"/>
        <v>-6.6669832375706173E-3</v>
      </c>
    </row>
    <row r="74" spans="1:3" x14ac:dyDescent="0.3">
      <c r="A74" s="5" t="s">
        <v>76</v>
      </c>
      <c r="B74" s="2">
        <v>104.637</v>
      </c>
      <c r="C74" s="22">
        <f t="shared" si="2"/>
        <v>2.0493569424360402E-3</v>
      </c>
    </row>
    <row r="75" spans="1:3" x14ac:dyDescent="0.3">
      <c r="A75" s="5" t="s">
        <v>77</v>
      </c>
      <c r="B75" s="1">
        <v>104.664</v>
      </c>
      <c r="C75" s="22">
        <f t="shared" si="2"/>
        <v>2.5479415314470137E-3</v>
      </c>
    </row>
    <row r="76" spans="1:3" x14ac:dyDescent="0.3">
      <c r="A76" s="5" t="s">
        <v>78</v>
      </c>
      <c r="B76" s="2">
        <v>104.672</v>
      </c>
      <c r="C76" s="22">
        <f t="shared" si="2"/>
        <v>-7.1601095974111752E-4</v>
      </c>
    </row>
    <row r="77" spans="1:3" x14ac:dyDescent="0.3">
      <c r="A77" s="5" t="s">
        <v>79</v>
      </c>
      <c r="B77" s="1">
        <v>104.504</v>
      </c>
      <c r="C77" s="22">
        <f t="shared" si="2"/>
        <v>-8.5091736540684971E-4</v>
      </c>
    </row>
    <row r="78" spans="1:3" x14ac:dyDescent="0.3">
      <c r="A78" s="5" t="s">
        <v>80</v>
      </c>
      <c r="B78" s="2">
        <v>104.923</v>
      </c>
      <c r="C78" s="22">
        <f t="shared" si="2"/>
        <v>2.7332587899118032E-3</v>
      </c>
    </row>
    <row r="79" spans="1:3" x14ac:dyDescent="0.3">
      <c r="A79" s="5" t="s">
        <v>81</v>
      </c>
      <c r="B79" s="1">
        <v>105.374</v>
      </c>
      <c r="C79" s="22">
        <f t="shared" si="2"/>
        <v>6.7836123213329677E-3</v>
      </c>
    </row>
    <row r="80" spans="1:3" x14ac:dyDescent="0.3">
      <c r="A80" s="5" t="s">
        <v>82</v>
      </c>
      <c r="B80" s="2">
        <v>105.408</v>
      </c>
      <c r="C80" s="22">
        <f t="shared" si="2"/>
        <v>7.0314888413329658E-3</v>
      </c>
    </row>
    <row r="81" spans="1:3" x14ac:dyDescent="0.3">
      <c r="A81" s="5" t="s">
        <v>83</v>
      </c>
      <c r="B81" s="1">
        <v>105.89100000000001</v>
      </c>
      <c r="C81" s="22">
        <f t="shared" si="2"/>
        <v>1.327221924519636E-2</v>
      </c>
    </row>
    <row r="82" spans="1:3" x14ac:dyDescent="0.3">
      <c r="A82" s="5" t="s">
        <v>84</v>
      </c>
      <c r="B82" s="2">
        <v>106.10899999999999</v>
      </c>
      <c r="C82" s="22">
        <f t="shared" si="2"/>
        <v>1.130352734862702E-2</v>
      </c>
    </row>
    <row r="83" spans="1:3" x14ac:dyDescent="0.3">
      <c r="A83" s="5" t="s">
        <v>85</v>
      </c>
      <c r="B83" s="1">
        <v>106.453</v>
      </c>
      <c r="C83" s="22">
        <f t="shared" si="2"/>
        <v>1.0239717577391082E-2</v>
      </c>
    </row>
    <row r="84" spans="1:3" x14ac:dyDescent="0.3">
      <c r="A84" s="5" t="s">
        <v>86</v>
      </c>
      <c r="B84" s="2">
        <v>107.181</v>
      </c>
      <c r="C84" s="22">
        <f t="shared" si="2"/>
        <v>1.6820355191256794E-2</v>
      </c>
    </row>
    <row r="85" spans="1:3" x14ac:dyDescent="0.3">
      <c r="A85" s="5" t="s">
        <v>87</v>
      </c>
      <c r="B85" s="1">
        <v>107.56399999999999</v>
      </c>
      <c r="C85" s="22">
        <f t="shared" si="2"/>
        <v>1.5799265282224056E-2</v>
      </c>
    </row>
    <row r="86" spans="1:3" x14ac:dyDescent="0.3">
      <c r="A86" s="5" t="s">
        <v>88</v>
      </c>
      <c r="B86" s="2">
        <v>108.084</v>
      </c>
      <c r="C86" s="22">
        <f t="shared" si="2"/>
        <v>1.8612935754742845E-2</v>
      </c>
    </row>
    <row r="87" spans="1:3" x14ac:dyDescent="0.3">
      <c r="A87" s="5" t="s">
        <v>89</v>
      </c>
      <c r="B87" s="1">
        <v>108.547</v>
      </c>
      <c r="C87" s="22">
        <f t="shared" si="2"/>
        <v>1.9670652776342556E-2</v>
      </c>
    </row>
    <row r="88" spans="1:3" x14ac:dyDescent="0.3">
      <c r="A88" s="5" t="s">
        <v>90</v>
      </c>
      <c r="B88" s="9">
        <v>108.63</v>
      </c>
      <c r="C88" s="22">
        <f t="shared" si="2"/>
        <v>1.3519187169367687E-2</v>
      </c>
    </row>
    <row r="89" spans="1:3" x14ac:dyDescent="0.3">
      <c r="A89" s="5" t="s">
        <v>91</v>
      </c>
      <c r="B89" s="1">
        <v>109.276</v>
      </c>
      <c r="C89" s="22">
        <f t="shared" si="2"/>
        <v>1.591610576029158E-2</v>
      </c>
    </row>
    <row r="90" spans="1:3" x14ac:dyDescent="0.3">
      <c r="A90" s="5" t="s">
        <v>92</v>
      </c>
      <c r="B90" s="2">
        <v>109.119</v>
      </c>
      <c r="C90" s="22">
        <f t="shared" si="2"/>
        <v>9.5758854224491739E-3</v>
      </c>
    </row>
    <row r="91" spans="1:3" x14ac:dyDescent="0.3">
      <c r="A91" s="5" t="s">
        <v>93</v>
      </c>
      <c r="B91" s="1">
        <v>109.423</v>
      </c>
      <c r="C91" s="22">
        <f t="shared" si="2"/>
        <v>8.0702368559242062E-3</v>
      </c>
    </row>
    <row r="92" spans="1:3" x14ac:dyDescent="0.3">
      <c r="A92" s="5" t="s">
        <v>94</v>
      </c>
      <c r="B92" s="2">
        <v>109.32599999999999</v>
      </c>
      <c r="C92" s="22">
        <f t="shared" si="2"/>
        <v>6.4070698702015831E-3</v>
      </c>
    </row>
    <row r="93" spans="1:3" x14ac:dyDescent="0.3">
      <c r="A93" s="5" t="s">
        <v>95</v>
      </c>
      <c r="B93" s="1">
        <v>109.631</v>
      </c>
      <c r="C93" s="22">
        <f t="shared" si="2"/>
        <v>3.2486547823859218E-3</v>
      </c>
    </row>
    <row r="94" spans="1:3" x14ac:dyDescent="0.3">
      <c r="A94" s="5" t="s">
        <v>96</v>
      </c>
      <c r="B94" s="2">
        <v>109.877</v>
      </c>
      <c r="C94" s="22">
        <f t="shared" si="2"/>
        <v>6.9465445980992817E-3</v>
      </c>
    </row>
    <row r="95" spans="1:3" x14ac:dyDescent="0.3">
      <c r="A95" s="5" t="s">
        <v>97</v>
      </c>
      <c r="B95" s="1">
        <v>110.312</v>
      </c>
      <c r="C95" s="22">
        <f t="shared" si="2"/>
        <v>8.1244345338730966E-3</v>
      </c>
    </row>
    <row r="96" spans="1:3" x14ac:dyDescent="0.3">
      <c r="A96" s="5" t="s">
        <v>98</v>
      </c>
      <c r="B96" s="2">
        <v>109.714</v>
      </c>
      <c r="C96" s="22">
        <f t="shared" si="2"/>
        <v>3.5490185317308348E-3</v>
      </c>
    </row>
    <row r="97" spans="1:3" x14ac:dyDescent="0.3">
      <c r="A97" s="5" t="s">
        <v>99</v>
      </c>
      <c r="B97" s="1">
        <v>109.426</v>
      </c>
      <c r="C97" s="22">
        <f t="shared" si="2"/>
        <v>-1.8699090585691848E-3</v>
      </c>
    </row>
    <row r="98" spans="1:3" x14ac:dyDescent="0.3">
      <c r="A98" s="5" t="s">
        <v>100</v>
      </c>
      <c r="B98" s="2">
        <v>103.193</v>
      </c>
      <c r="C98" s="22">
        <f t="shared" si="2"/>
        <v>-6.0831657216705935E-2</v>
      </c>
    </row>
    <row r="99" spans="1:3" x14ac:dyDescent="0.3">
      <c r="A99" s="5" t="s">
        <v>101</v>
      </c>
      <c r="B99" s="1">
        <v>90.308000000000007</v>
      </c>
      <c r="C99" s="22">
        <f t="shared" si="2"/>
        <v>-0.18134019870911589</v>
      </c>
    </row>
    <row r="100" spans="1:3" x14ac:dyDescent="0.3">
      <c r="A100" s="5" t="s">
        <v>102</v>
      </c>
      <c r="B100" s="2">
        <v>103.108</v>
      </c>
      <c r="C100" s="22">
        <f t="shared" si="2"/>
        <v>-6.0211094299724689E-2</v>
      </c>
    </row>
    <row r="101" spans="1:3" x14ac:dyDescent="0.3">
      <c r="A101" s="5" t="s">
        <v>103</v>
      </c>
      <c r="B101" s="1">
        <v>103.39100000000001</v>
      </c>
      <c r="C101" s="22">
        <f t="shared" si="2"/>
        <v>-5.5151426534827158E-2</v>
      </c>
    </row>
    <row r="102" spans="1:3" x14ac:dyDescent="0.3">
      <c r="A102" s="5" t="s">
        <v>104</v>
      </c>
      <c r="B102" s="2">
        <v>105.09699999999999</v>
      </c>
      <c r="C102" s="22">
        <f t="shared" ref="C102:C121" si="3">(B102-B98)/B98</f>
        <v>1.845086391518801E-2</v>
      </c>
    </row>
    <row r="103" spans="1:3" x14ac:dyDescent="0.3">
      <c r="A103" s="5" t="s">
        <v>105</v>
      </c>
      <c r="B103" s="1">
        <v>107.754</v>
      </c>
      <c r="C103" s="22">
        <f t="shared" si="3"/>
        <v>0.19318332816583245</v>
      </c>
    </row>
    <row r="104" spans="1:3" x14ac:dyDescent="0.3">
      <c r="A104" s="5" t="s">
        <v>106</v>
      </c>
      <c r="B104" s="2">
        <v>110.288</v>
      </c>
      <c r="C104" s="22">
        <f t="shared" si="3"/>
        <v>6.9635721767467046E-2</v>
      </c>
    </row>
    <row r="105" spans="1:3" x14ac:dyDescent="0.3">
      <c r="A105" s="5" t="s">
        <v>107</v>
      </c>
      <c r="B105" s="1">
        <v>112.074</v>
      </c>
      <c r="C105" s="22">
        <f t="shared" si="3"/>
        <v>8.3982164791906372E-2</v>
      </c>
    </row>
    <row r="106" spans="1:3" x14ac:dyDescent="0.3">
      <c r="A106" s="5" t="s">
        <v>108</v>
      </c>
      <c r="B106" s="2">
        <v>112.911</v>
      </c>
      <c r="C106" s="22">
        <f t="shared" si="3"/>
        <v>7.4350362046490454E-2</v>
      </c>
    </row>
    <row r="107" spans="1:3" x14ac:dyDescent="0.3">
      <c r="A107" s="5" t="s">
        <v>109</v>
      </c>
      <c r="B107" s="1">
        <v>114.64700000000001</v>
      </c>
      <c r="C107" s="22">
        <f t="shared" si="3"/>
        <v>6.3969783024296081E-2</v>
      </c>
    </row>
    <row r="108" spans="1:3" x14ac:dyDescent="0.3">
      <c r="A108" s="5" t="s">
        <v>110</v>
      </c>
      <c r="B108" s="2">
        <v>114.794</v>
      </c>
      <c r="C108" s="22">
        <f t="shared" si="3"/>
        <v>4.0856666183084291E-2</v>
      </c>
    </row>
    <row r="109" spans="1:3" x14ac:dyDescent="0.3">
      <c r="A109" s="5" t="s">
        <v>111</v>
      </c>
      <c r="B109" s="8">
        <v>114.51</v>
      </c>
      <c r="C109" s="22">
        <f t="shared" si="3"/>
        <v>2.1735638952834799E-2</v>
      </c>
    </row>
    <row r="110" spans="1:3" x14ac:dyDescent="0.3">
      <c r="A110" s="5" t="s">
        <v>112</v>
      </c>
      <c r="B110" s="2">
        <v>115.24299999999999</v>
      </c>
      <c r="C110" s="22">
        <f t="shared" si="3"/>
        <v>2.0653435006332363E-2</v>
      </c>
    </row>
    <row r="111" spans="1:3" x14ac:dyDescent="0.3">
      <c r="A111" s="5" t="s">
        <v>113</v>
      </c>
      <c r="B111" s="1">
        <v>115.247</v>
      </c>
      <c r="C111" s="22">
        <f t="shared" si="3"/>
        <v>5.233455738048046E-3</v>
      </c>
    </row>
    <row r="112" spans="1:3" x14ac:dyDescent="0.3">
      <c r="A112" s="5" t="s">
        <v>114</v>
      </c>
      <c r="B112" s="2">
        <v>115.325</v>
      </c>
      <c r="C112" s="22">
        <f t="shared" si="3"/>
        <v>4.6256773002073797E-3</v>
      </c>
    </row>
    <row r="113" spans="1:3" x14ac:dyDescent="0.3">
      <c r="A113" s="5" t="s">
        <v>115</v>
      </c>
      <c r="B113" s="1">
        <v>115.705</v>
      </c>
      <c r="C113" s="22">
        <f t="shared" si="3"/>
        <v>1.0435769801763977E-2</v>
      </c>
    </row>
    <row r="114" spans="1:3" x14ac:dyDescent="0.3">
      <c r="A114" s="5" t="s">
        <v>116</v>
      </c>
      <c r="B114" s="2">
        <v>115.851</v>
      </c>
      <c r="C114" s="22">
        <f t="shared" si="3"/>
        <v>5.27580850897672E-3</v>
      </c>
    </row>
    <row r="115" spans="1:3" x14ac:dyDescent="0.3">
      <c r="A115" s="5" t="s">
        <v>117</v>
      </c>
      <c r="B115" s="1">
        <v>116.084</v>
      </c>
      <c r="C115" s="22">
        <f t="shared" si="3"/>
        <v>7.2626619348009347E-3</v>
      </c>
    </row>
    <row r="116" spans="1:3" x14ac:dyDescent="0.3">
      <c r="A116" s="5" t="s">
        <v>118</v>
      </c>
      <c r="B116" s="2">
        <v>116.078</v>
      </c>
      <c r="C116" s="22">
        <f t="shared" si="3"/>
        <v>6.5293735096466519E-3</v>
      </c>
    </row>
    <row r="117" spans="1:3" x14ac:dyDescent="0.3">
      <c r="A117" s="5" t="s">
        <v>119</v>
      </c>
      <c r="B117" s="1">
        <v>116.21299999999999</v>
      </c>
      <c r="C117" s="22">
        <f t="shared" si="3"/>
        <v>4.3904757789204928E-3</v>
      </c>
    </row>
    <row r="118" spans="1:3" x14ac:dyDescent="0.3">
      <c r="A118" s="5" t="s">
        <v>120</v>
      </c>
      <c r="B118" s="2">
        <v>116.611</v>
      </c>
      <c r="C118" s="22">
        <f t="shared" si="3"/>
        <v>6.560150538191342E-3</v>
      </c>
    </row>
    <row r="119" spans="1:3" x14ac:dyDescent="0.3">
      <c r="A119" s="5" t="s">
        <v>121</v>
      </c>
      <c r="B119" s="1">
        <v>116.625</v>
      </c>
      <c r="C119" s="22">
        <f t="shared" si="3"/>
        <v>4.6604183177698629E-3</v>
      </c>
    </row>
    <row r="120" spans="1:3" x14ac:dyDescent="0.3">
      <c r="A120" s="5" t="s">
        <v>122</v>
      </c>
      <c r="B120" s="2">
        <v>116.884</v>
      </c>
      <c r="C120" s="22">
        <f t="shared" si="3"/>
        <v>6.9436068850255639E-3</v>
      </c>
    </row>
    <row r="121" spans="1:3" x14ac:dyDescent="0.3">
      <c r="A121" s="5" t="s">
        <v>123</v>
      </c>
      <c r="B121" s="1">
        <v>117.187</v>
      </c>
      <c r="C121" s="22">
        <f t="shared" si="3"/>
        <v>8.3811621763486346E-3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3"/>
  <sheetViews>
    <sheetView workbookViewId="0">
      <selection activeCell="C113" sqref="C113"/>
    </sheetView>
  </sheetViews>
  <sheetFormatPr defaultRowHeight="14.4" x14ac:dyDescent="0.3"/>
  <sheetData>
    <row r="1" spans="1:10" x14ac:dyDescent="0.3">
      <c r="A1" s="15" t="s">
        <v>130</v>
      </c>
      <c r="B1" s="15" t="s">
        <v>131</v>
      </c>
      <c r="C1" s="15" t="s">
        <v>132</v>
      </c>
      <c r="D1" s="15" t="s">
        <v>133</v>
      </c>
      <c r="E1" s="15" t="s">
        <v>134</v>
      </c>
      <c r="F1" s="15" t="s">
        <v>135</v>
      </c>
      <c r="G1" s="15" t="s">
        <v>136</v>
      </c>
      <c r="H1" s="15" t="s">
        <v>137</v>
      </c>
      <c r="I1" s="15" t="s">
        <v>138</v>
      </c>
      <c r="J1" s="15" t="s">
        <v>139</v>
      </c>
    </row>
    <row r="2" spans="1:10" x14ac:dyDescent="0.3">
      <c r="A2" s="16">
        <v>35886</v>
      </c>
      <c r="B2" s="17">
        <v>35582.33</v>
      </c>
      <c r="C2" s="18"/>
      <c r="D2" s="17">
        <v>11180.79</v>
      </c>
      <c r="E2" s="17">
        <v>45.820017916901897</v>
      </c>
      <c r="F2" s="17">
        <v>35587.21</v>
      </c>
      <c r="G2" s="17">
        <v>45.840016654686501</v>
      </c>
      <c r="H2" s="17"/>
      <c r="I2" s="17">
        <v>35582.33</v>
      </c>
      <c r="J2" s="17">
        <v>24913.97</v>
      </c>
    </row>
    <row r="3" spans="1:10" x14ac:dyDescent="0.3">
      <c r="A3" s="19">
        <v>35977</v>
      </c>
      <c r="B3" s="20">
        <v>34330.53</v>
      </c>
      <c r="C3" s="21"/>
      <c r="D3" s="20">
        <v>-1251.8</v>
      </c>
      <c r="E3" s="20">
        <v>-3.5180383072159702</v>
      </c>
      <c r="F3" s="20">
        <v>34708.75</v>
      </c>
      <c r="G3" s="20">
        <v>42.239997967341402</v>
      </c>
      <c r="H3" s="20"/>
      <c r="I3" s="20">
        <v>37436.839999999997</v>
      </c>
      <c r="J3" s="20">
        <v>31136.37</v>
      </c>
    </row>
    <row r="4" spans="1:10" x14ac:dyDescent="0.3">
      <c r="A4" s="16">
        <v>36069</v>
      </c>
      <c r="B4" s="17">
        <v>26609.88</v>
      </c>
      <c r="C4" s="18"/>
      <c r="D4" s="17">
        <v>-7720.6499999999896</v>
      </c>
      <c r="E4" s="17">
        <v>-22.489166348436701</v>
      </c>
      <c r="F4" s="17">
        <v>26956.38</v>
      </c>
      <c r="G4" s="17">
        <v>10.469994926549701</v>
      </c>
      <c r="H4" s="17"/>
      <c r="I4" s="17">
        <v>38766.730000000003</v>
      </c>
      <c r="J4" s="17">
        <v>26609.88</v>
      </c>
    </row>
    <row r="5" spans="1:10" x14ac:dyDescent="0.3">
      <c r="A5" s="19">
        <v>36159</v>
      </c>
      <c r="B5" s="20">
        <v>35426.160000000003</v>
      </c>
      <c r="C5" s="21"/>
      <c r="D5" s="20">
        <v>8816.2800000000007</v>
      </c>
      <c r="E5" s="20">
        <v>33.131603750186002</v>
      </c>
      <c r="F5" s="20">
        <v>35894.67</v>
      </c>
      <c r="G5" s="20">
        <v>47.100019097155297</v>
      </c>
      <c r="H5" s="20"/>
      <c r="I5" s="20">
        <v>35460.32</v>
      </c>
      <c r="J5" s="20">
        <v>24860.29</v>
      </c>
    </row>
    <row r="6" spans="1:10" x14ac:dyDescent="0.3">
      <c r="A6" s="16">
        <v>36251</v>
      </c>
      <c r="B6" s="17">
        <v>38129.85</v>
      </c>
      <c r="C6" s="24">
        <f t="shared" ref="C6:C37" si="0">(B6-B2)/B2</f>
        <v>7.1595086662396668E-2</v>
      </c>
      <c r="D6" s="17">
        <v>2703.6899999999901</v>
      </c>
      <c r="E6" s="17">
        <v>7.6319025262686999</v>
      </c>
      <c r="F6" s="17">
        <v>38678.879999999997</v>
      </c>
      <c r="G6" s="17">
        <v>58.509995680600397</v>
      </c>
      <c r="H6" s="17"/>
      <c r="I6" s="17">
        <v>38600.800000000003</v>
      </c>
      <c r="J6" s="17">
        <v>33449.629999999997</v>
      </c>
    </row>
    <row r="7" spans="1:10" x14ac:dyDescent="0.3">
      <c r="A7" s="19">
        <v>36342</v>
      </c>
      <c r="B7" s="20">
        <v>37102.54</v>
      </c>
      <c r="C7" s="24">
        <f t="shared" si="0"/>
        <v>8.0744748187691895E-2</v>
      </c>
      <c r="D7" s="20">
        <v>-1027.3099999999899</v>
      </c>
      <c r="E7" s="20">
        <v>-2.6942408637851898</v>
      </c>
      <c r="F7" s="20">
        <v>38059.08</v>
      </c>
      <c r="G7" s="20">
        <v>55.969992057878301</v>
      </c>
      <c r="H7" s="20"/>
      <c r="I7" s="20">
        <v>38749.65</v>
      </c>
      <c r="J7" s="20">
        <v>35928.83</v>
      </c>
    </row>
    <row r="8" spans="1:10" x14ac:dyDescent="0.3">
      <c r="A8" s="16">
        <v>36434</v>
      </c>
      <c r="B8" s="17">
        <v>35255.35</v>
      </c>
      <c r="C8" s="24">
        <f t="shared" si="0"/>
        <v>0.32489699314690623</v>
      </c>
      <c r="D8" s="17">
        <v>-1847.19</v>
      </c>
      <c r="E8" s="17">
        <v>-4.9786079335808298</v>
      </c>
      <c r="F8" s="17">
        <v>36309.49</v>
      </c>
      <c r="G8" s="17">
        <v>48.799993770884903</v>
      </c>
      <c r="H8" s="17"/>
      <c r="I8" s="17">
        <v>38317.74</v>
      </c>
      <c r="J8" s="17">
        <v>33044.57</v>
      </c>
    </row>
    <row r="9" spans="1:10" x14ac:dyDescent="0.3">
      <c r="A9" s="19">
        <v>36524</v>
      </c>
      <c r="B9" s="20">
        <v>42605.09</v>
      </c>
      <c r="C9" s="24">
        <f t="shared" si="0"/>
        <v>0.20264488163549174</v>
      </c>
      <c r="D9" s="20">
        <v>7349.7399999999898</v>
      </c>
      <c r="E9" s="20">
        <v>20.847162203750599</v>
      </c>
      <c r="F9" s="20">
        <v>43886.17</v>
      </c>
      <c r="G9" s="20">
        <v>79.850001270411596</v>
      </c>
      <c r="H9" s="20"/>
      <c r="I9" s="20">
        <v>42605.09</v>
      </c>
      <c r="J9" s="20">
        <v>32873.760000000002</v>
      </c>
    </row>
    <row r="10" spans="1:10" x14ac:dyDescent="0.3">
      <c r="A10" s="16">
        <v>36616</v>
      </c>
      <c r="B10" s="17">
        <v>45391.75</v>
      </c>
      <c r="C10" s="24">
        <f t="shared" si="0"/>
        <v>0.1904518376022985</v>
      </c>
      <c r="D10" s="17">
        <v>2786.66</v>
      </c>
      <c r="E10" s="17">
        <v>6.5406738960063198</v>
      </c>
      <c r="F10" s="17">
        <v>46755.79</v>
      </c>
      <c r="G10" s="17">
        <v>91.609996746107001</v>
      </c>
      <c r="H10" s="17"/>
      <c r="I10" s="17">
        <v>50108.56</v>
      </c>
      <c r="J10" s="17">
        <v>38835.050000000003</v>
      </c>
    </row>
    <row r="11" spans="1:10" x14ac:dyDescent="0.3">
      <c r="A11" s="19">
        <v>36707</v>
      </c>
      <c r="B11" s="20">
        <v>46448.33</v>
      </c>
      <c r="C11" s="24">
        <f t="shared" si="0"/>
        <v>0.25189084089660707</v>
      </c>
      <c r="D11" s="20">
        <v>1056.58</v>
      </c>
      <c r="E11" s="20">
        <v>2.32769170609197</v>
      </c>
      <c r="F11" s="20">
        <v>48688.39</v>
      </c>
      <c r="G11" s="20">
        <v>99.529988681042198</v>
      </c>
      <c r="H11" s="20"/>
      <c r="I11" s="20">
        <v>46772.87</v>
      </c>
      <c r="J11" s="20">
        <v>42651.45</v>
      </c>
    </row>
    <row r="12" spans="1:10" x14ac:dyDescent="0.3">
      <c r="A12" s="16">
        <v>36798</v>
      </c>
      <c r="B12" s="17">
        <v>45418.59</v>
      </c>
      <c r="C12" s="24">
        <f t="shared" si="0"/>
        <v>0.28827511285521201</v>
      </c>
      <c r="D12" s="17">
        <v>-1029.74</v>
      </c>
      <c r="E12" s="17">
        <v>-2.21695806932133</v>
      </c>
      <c r="F12" s="17">
        <v>47729.41</v>
      </c>
      <c r="G12" s="17">
        <v>95.599990820251506</v>
      </c>
      <c r="H12" s="17"/>
      <c r="I12" s="17">
        <v>48634.71</v>
      </c>
      <c r="J12" s="17">
        <v>45142.85</v>
      </c>
    </row>
    <row r="13" spans="1:10" x14ac:dyDescent="0.3">
      <c r="A13" s="19">
        <v>36889</v>
      </c>
      <c r="B13" s="20">
        <v>43661.68</v>
      </c>
      <c r="C13" s="24">
        <f t="shared" si="0"/>
        <v>2.4799619012657967E-2</v>
      </c>
      <c r="D13" s="20">
        <v>-1756.9099999999901</v>
      </c>
      <c r="E13" s="20">
        <v>-3.86826187250638</v>
      </c>
      <c r="F13" s="20">
        <v>45889.54</v>
      </c>
      <c r="G13" s="20">
        <v>88.060015884243299</v>
      </c>
      <c r="H13" s="20"/>
      <c r="I13" s="20">
        <v>48437.06</v>
      </c>
      <c r="J13" s="20">
        <v>42941.83</v>
      </c>
    </row>
    <row r="14" spans="1:10" x14ac:dyDescent="0.3">
      <c r="A14" s="16">
        <v>36980</v>
      </c>
      <c r="B14" s="17">
        <v>38996.1</v>
      </c>
      <c r="C14" s="24">
        <f t="shared" si="0"/>
        <v>-0.1408989519020527</v>
      </c>
      <c r="D14" s="17">
        <v>-4665.58</v>
      </c>
      <c r="E14" s="17">
        <v>-10.6857546480117</v>
      </c>
      <c r="F14" s="17">
        <v>40984.83</v>
      </c>
      <c r="G14" s="17">
        <v>67.960013999116399</v>
      </c>
      <c r="H14" s="17"/>
      <c r="I14" s="17">
        <v>45067.21</v>
      </c>
      <c r="J14" s="17">
        <v>35919.07</v>
      </c>
    </row>
    <row r="15" spans="1:10" x14ac:dyDescent="0.3">
      <c r="A15" s="19">
        <v>37071</v>
      </c>
      <c r="B15" s="20">
        <v>37314.839999999997</v>
      </c>
      <c r="C15" s="24">
        <f t="shared" si="0"/>
        <v>-0.19663764014766527</v>
      </c>
      <c r="D15" s="20">
        <v>-1681.26</v>
      </c>
      <c r="E15" s="20">
        <v>-4.3113542123443196</v>
      </c>
      <c r="F15" s="20">
        <v>39884.32</v>
      </c>
      <c r="G15" s="20">
        <v>63.450011761552702</v>
      </c>
      <c r="H15" s="20"/>
      <c r="I15" s="20">
        <v>41123.919999999998</v>
      </c>
      <c r="J15" s="20">
        <v>36402.22</v>
      </c>
    </row>
    <row r="16" spans="1:10" x14ac:dyDescent="0.3">
      <c r="A16" s="16">
        <v>37165</v>
      </c>
      <c r="B16" s="17">
        <v>28249.66</v>
      </c>
      <c r="C16" s="24">
        <f t="shared" si="0"/>
        <v>-0.3780154778032519</v>
      </c>
      <c r="D16" s="17">
        <v>-9065.1799999999894</v>
      </c>
      <c r="E16" s="17">
        <v>-24.293766233487801</v>
      </c>
      <c r="F16" s="17">
        <v>30194.47</v>
      </c>
      <c r="G16" s="17">
        <v>23.7400180480412</v>
      </c>
      <c r="H16" s="17"/>
      <c r="I16" s="17">
        <v>38129.85</v>
      </c>
      <c r="J16" s="17">
        <v>23896.43</v>
      </c>
    </row>
    <row r="17" spans="1:10" x14ac:dyDescent="0.3">
      <c r="A17" s="19">
        <v>37253</v>
      </c>
      <c r="B17" s="20">
        <v>32317.4</v>
      </c>
      <c r="C17" s="24">
        <f t="shared" si="0"/>
        <v>-0.25982234307062851</v>
      </c>
      <c r="D17" s="20">
        <v>4067.74</v>
      </c>
      <c r="E17" s="20">
        <v>14.3992529467611</v>
      </c>
      <c r="F17" s="20">
        <v>34550.14</v>
      </c>
      <c r="G17" s="20">
        <v>41.589998008322397</v>
      </c>
      <c r="H17" s="20"/>
      <c r="I17" s="20">
        <v>33364.230000000003</v>
      </c>
      <c r="J17" s="20">
        <v>28596.17</v>
      </c>
    </row>
    <row r="18" spans="1:10" x14ac:dyDescent="0.3">
      <c r="A18" s="16">
        <v>37343</v>
      </c>
      <c r="B18" s="17">
        <v>33679.01</v>
      </c>
      <c r="C18" s="24">
        <f t="shared" si="0"/>
        <v>-0.13634927595323626</v>
      </c>
      <c r="D18" s="17">
        <v>1361.61</v>
      </c>
      <c r="E18" s="17">
        <v>4.21324116420256</v>
      </c>
      <c r="F18" s="17">
        <v>36028.870000000003</v>
      </c>
      <c r="G18" s="17">
        <v>47.649984386231303</v>
      </c>
      <c r="H18" s="17"/>
      <c r="I18" s="17">
        <v>33679.01</v>
      </c>
      <c r="J18" s="17">
        <v>30033.42</v>
      </c>
    </row>
    <row r="19" spans="1:10" x14ac:dyDescent="0.3">
      <c r="A19" s="19">
        <v>37438</v>
      </c>
      <c r="B19" s="20">
        <v>28249.66</v>
      </c>
      <c r="C19" s="24">
        <f t="shared" si="0"/>
        <v>-0.24293766233487796</v>
      </c>
      <c r="D19" s="20">
        <v>-5429.35</v>
      </c>
      <c r="E19" s="20">
        <v>-16.120871723960999</v>
      </c>
      <c r="F19" s="20">
        <v>31007.040000000001</v>
      </c>
      <c r="G19" s="20">
        <v>27.070012794274401</v>
      </c>
      <c r="H19" s="20"/>
      <c r="I19" s="20">
        <v>33705.85</v>
      </c>
      <c r="J19" s="20">
        <v>27039.35</v>
      </c>
    </row>
    <row r="20" spans="1:10" x14ac:dyDescent="0.3">
      <c r="A20" s="16">
        <v>37530</v>
      </c>
      <c r="B20" s="17">
        <v>21458.71</v>
      </c>
      <c r="C20" s="24">
        <f t="shared" si="0"/>
        <v>-0.2403905038149132</v>
      </c>
      <c r="D20" s="17">
        <v>-6790.95</v>
      </c>
      <c r="E20" s="17">
        <v>-24.0390503814913</v>
      </c>
      <c r="F20" s="17">
        <v>23552.37</v>
      </c>
      <c r="G20" s="17">
        <v>-3.4799852796175998</v>
      </c>
      <c r="H20" s="17"/>
      <c r="I20" s="17">
        <v>28186.22</v>
      </c>
      <c r="J20" s="17">
        <v>21278.14</v>
      </c>
    </row>
    <row r="21" spans="1:10" x14ac:dyDescent="0.3">
      <c r="A21" s="19">
        <v>37620</v>
      </c>
      <c r="B21" s="20">
        <v>23508.44</v>
      </c>
      <c r="C21" s="24">
        <f t="shared" si="0"/>
        <v>-0.27257638300110781</v>
      </c>
      <c r="D21" s="20">
        <v>2049.72999999999</v>
      </c>
      <c r="E21" s="20">
        <v>9.5519721362560901</v>
      </c>
      <c r="F21" s="20">
        <v>25926.639999999999</v>
      </c>
      <c r="G21" s="20">
        <v>6.2500153678825097</v>
      </c>
      <c r="H21" s="20"/>
      <c r="I21" s="20">
        <v>25926.639999999999</v>
      </c>
      <c r="J21" s="20">
        <v>20424.09</v>
      </c>
    </row>
    <row r="22" spans="1:10" x14ac:dyDescent="0.3">
      <c r="A22" s="16">
        <v>37712</v>
      </c>
      <c r="B22" s="17">
        <v>21802.78</v>
      </c>
      <c r="C22" s="24">
        <f t="shared" si="0"/>
        <v>-0.35263002089431972</v>
      </c>
      <c r="D22" s="17">
        <v>-1705.6599999999901</v>
      </c>
      <c r="E22" s="17">
        <v>-7.2555218466218898</v>
      </c>
      <c r="F22" s="17">
        <v>24045.279999999999</v>
      </c>
      <c r="G22" s="17">
        <v>-1.45998982031462</v>
      </c>
      <c r="H22" s="17"/>
      <c r="I22" s="17">
        <v>24804.17</v>
      </c>
      <c r="J22" s="17">
        <v>20324.04</v>
      </c>
    </row>
    <row r="23" spans="1:10" x14ac:dyDescent="0.3">
      <c r="A23" s="19">
        <v>37803</v>
      </c>
      <c r="B23" s="20">
        <v>24196.57</v>
      </c>
      <c r="C23" s="24">
        <f t="shared" si="0"/>
        <v>-0.1434739391553739</v>
      </c>
      <c r="D23" s="20">
        <v>2393.79</v>
      </c>
      <c r="E23" s="20">
        <v>10.979287962360701</v>
      </c>
      <c r="F23" s="20">
        <v>27459.88</v>
      </c>
      <c r="G23" s="20">
        <v>12.533389286086001</v>
      </c>
      <c r="H23" s="20"/>
      <c r="I23" s="20">
        <v>25853.43</v>
      </c>
      <c r="J23" s="20">
        <v>22476.26</v>
      </c>
    </row>
    <row r="24" spans="1:10" x14ac:dyDescent="0.3">
      <c r="A24" s="16">
        <v>37895</v>
      </c>
      <c r="B24" s="17">
        <v>24955.46</v>
      </c>
      <c r="C24" s="24">
        <f t="shared" si="0"/>
        <v>0.16295247943608912</v>
      </c>
      <c r="D24" s="17">
        <v>758.88999999999896</v>
      </c>
      <c r="E24" s="17">
        <v>3.13635362367474</v>
      </c>
      <c r="F24" s="17">
        <v>28343.73</v>
      </c>
      <c r="G24" s="17">
        <v>16.155496743238299</v>
      </c>
      <c r="H24" s="17"/>
      <c r="I24" s="17">
        <v>26121.85</v>
      </c>
      <c r="J24" s="17">
        <v>24311.26</v>
      </c>
    </row>
    <row r="25" spans="1:10" x14ac:dyDescent="0.3">
      <c r="A25" s="19">
        <v>37985</v>
      </c>
      <c r="B25" s="20">
        <v>26886.74</v>
      </c>
      <c r="C25" s="24">
        <f t="shared" si="0"/>
        <v>0.14370583501074521</v>
      </c>
      <c r="D25" s="20">
        <v>1931.28</v>
      </c>
      <c r="E25" s="20">
        <v>7.7389076378475901</v>
      </c>
      <c r="F25" s="20">
        <v>30536.31</v>
      </c>
      <c r="G25" s="20">
        <v>25.140913237443201</v>
      </c>
      <c r="H25" s="20"/>
      <c r="I25" s="20">
        <v>27807.4</v>
      </c>
      <c r="J25" s="20">
        <v>24921.29</v>
      </c>
    </row>
    <row r="26" spans="1:10" x14ac:dyDescent="0.3">
      <c r="A26" s="16">
        <v>38078</v>
      </c>
      <c r="B26" s="17">
        <v>27400.11</v>
      </c>
      <c r="C26" s="24">
        <f t="shared" si="0"/>
        <v>0.25672551848892672</v>
      </c>
      <c r="D26" s="17">
        <v>513.36999999999898</v>
      </c>
      <c r="E26" s="17">
        <v>1.90937986531649</v>
      </c>
      <c r="F26" s="17">
        <v>31119.37</v>
      </c>
      <c r="G26" s="17">
        <v>27.5303525925003</v>
      </c>
      <c r="H26" s="17"/>
      <c r="I26" s="17">
        <v>28443.33</v>
      </c>
      <c r="J26" s="17">
        <v>26470.06</v>
      </c>
    </row>
    <row r="27" spans="1:10" x14ac:dyDescent="0.3">
      <c r="A27" s="19">
        <v>38169</v>
      </c>
      <c r="B27" s="20">
        <v>27939.63</v>
      </c>
      <c r="C27" s="24">
        <f t="shared" si="0"/>
        <v>0.15469382643903667</v>
      </c>
      <c r="D27" s="20">
        <v>539.52</v>
      </c>
      <c r="E27" s="20">
        <v>1.96904318997259</v>
      </c>
      <c r="F27" s="20">
        <v>32856.57</v>
      </c>
      <c r="G27" s="20">
        <v>34.649575395651198</v>
      </c>
      <c r="H27" s="20"/>
      <c r="I27" s="20">
        <v>28549.94</v>
      </c>
      <c r="J27" s="20">
        <v>26958.71</v>
      </c>
    </row>
    <row r="28" spans="1:10" x14ac:dyDescent="0.3">
      <c r="A28" s="16">
        <v>38261</v>
      </c>
      <c r="B28" s="17">
        <v>28323.56</v>
      </c>
      <c r="C28" s="24">
        <f t="shared" si="0"/>
        <v>0.13496445266887497</v>
      </c>
      <c r="D28" s="17">
        <v>383.93</v>
      </c>
      <c r="E28" s="17">
        <v>1.3741413182636899</v>
      </c>
      <c r="F28" s="17">
        <v>33308.06</v>
      </c>
      <c r="G28" s="17">
        <v>36.499827469905497</v>
      </c>
      <c r="H28" s="17"/>
      <c r="I28" s="17">
        <v>28323.56</v>
      </c>
      <c r="J28" s="17">
        <v>26198.42</v>
      </c>
    </row>
    <row r="29" spans="1:10" x14ac:dyDescent="0.3">
      <c r="A29" s="19">
        <v>38351</v>
      </c>
      <c r="B29" s="20">
        <v>30903</v>
      </c>
      <c r="C29" s="24">
        <f t="shared" si="0"/>
        <v>0.14937697913543993</v>
      </c>
      <c r="D29" s="20">
        <v>2579.4399999999901</v>
      </c>
      <c r="E29" s="20">
        <v>9.1070472779551697</v>
      </c>
      <c r="F29" s="20">
        <v>36355.83</v>
      </c>
      <c r="G29" s="20">
        <v>48.989899817798303</v>
      </c>
      <c r="H29" s="20"/>
      <c r="I29" s="20">
        <v>30903.94</v>
      </c>
      <c r="J29" s="20">
        <v>28192.99</v>
      </c>
    </row>
    <row r="30" spans="1:10" x14ac:dyDescent="0.3">
      <c r="A30" s="16">
        <v>38443</v>
      </c>
      <c r="B30" s="17">
        <v>32480.95</v>
      </c>
      <c r="C30" s="24">
        <f t="shared" si="0"/>
        <v>0.18543137235580442</v>
      </c>
      <c r="D30" s="17">
        <v>1577.95</v>
      </c>
      <c r="E30" s="17">
        <v>5.1061385625990896</v>
      </c>
      <c r="F30" s="17">
        <v>38212.22</v>
      </c>
      <c r="G30" s="17">
        <v>56.597575398929699</v>
      </c>
      <c r="H30" s="17"/>
      <c r="I30" s="17">
        <v>32480.95</v>
      </c>
      <c r="J30" s="17">
        <v>30644.86</v>
      </c>
    </row>
    <row r="31" spans="1:10" x14ac:dyDescent="0.3">
      <c r="A31" s="19">
        <v>38534</v>
      </c>
      <c r="B31" s="20">
        <v>32532.14</v>
      </c>
      <c r="C31" s="24">
        <f t="shared" si="0"/>
        <v>0.16437261338106476</v>
      </c>
      <c r="D31" s="20">
        <v>51.189999999998598</v>
      </c>
      <c r="E31" s="20">
        <v>0.15760007019498501</v>
      </c>
      <c r="F31" s="20">
        <v>39462.43</v>
      </c>
      <c r="G31" s="20">
        <v>61.721063506647504</v>
      </c>
      <c r="H31" s="20"/>
      <c r="I31" s="20">
        <v>32856.269999999997</v>
      </c>
      <c r="J31" s="20">
        <v>30840.7</v>
      </c>
    </row>
    <row r="32" spans="1:10" x14ac:dyDescent="0.3">
      <c r="A32" s="16">
        <v>38625</v>
      </c>
      <c r="B32" s="17">
        <v>34775.120000000003</v>
      </c>
      <c r="C32" s="24">
        <f t="shared" si="0"/>
        <v>0.22778068858575692</v>
      </c>
      <c r="D32" s="17">
        <v>2242.98</v>
      </c>
      <c r="E32" s="17">
        <v>6.8946586360442303</v>
      </c>
      <c r="F32" s="17">
        <v>42183.23</v>
      </c>
      <c r="G32" s="17">
        <v>72.871179441953203</v>
      </c>
      <c r="H32" s="17"/>
      <c r="I32" s="17">
        <v>34871.42</v>
      </c>
      <c r="J32" s="17">
        <v>32184.99</v>
      </c>
    </row>
    <row r="33" spans="1:10" x14ac:dyDescent="0.3">
      <c r="A33" s="19">
        <v>38716</v>
      </c>
      <c r="B33" s="20">
        <v>35704.370000000003</v>
      </c>
      <c r="C33" s="24">
        <f t="shared" si="0"/>
        <v>0.15536905802025702</v>
      </c>
      <c r="D33" s="20">
        <v>929.25</v>
      </c>
      <c r="E33" s="20">
        <v>2.6721690680003398</v>
      </c>
      <c r="F33" s="20">
        <v>43341.41</v>
      </c>
      <c r="G33" s="20">
        <v>77.617519222147394</v>
      </c>
      <c r="H33" s="20"/>
      <c r="I33" s="20">
        <v>35957.31</v>
      </c>
      <c r="J33" s="20">
        <v>32114.09</v>
      </c>
    </row>
    <row r="34" spans="1:10" x14ac:dyDescent="0.3">
      <c r="A34" s="16">
        <v>38807</v>
      </c>
      <c r="B34" s="17">
        <v>37928.370000000003</v>
      </c>
      <c r="C34" s="24">
        <f t="shared" si="0"/>
        <v>0.1677112276580581</v>
      </c>
      <c r="D34" s="17">
        <v>2224</v>
      </c>
      <c r="E34" s="17">
        <v>6.2289293999586004</v>
      </c>
      <c r="F34" s="17">
        <v>46041.11</v>
      </c>
      <c r="G34" s="17">
        <v>88.681165205146797</v>
      </c>
      <c r="H34" s="17"/>
      <c r="I34" s="17">
        <v>38601.72</v>
      </c>
      <c r="J34" s="17">
        <v>35651.64</v>
      </c>
    </row>
    <row r="35" spans="1:10" x14ac:dyDescent="0.3">
      <c r="A35" s="19">
        <v>38898</v>
      </c>
      <c r="B35" s="20">
        <v>36444.33</v>
      </c>
      <c r="C35" s="24">
        <f t="shared" si="0"/>
        <v>0.12025615283839312</v>
      </c>
      <c r="D35" s="20">
        <v>-1484.04</v>
      </c>
      <c r="E35" s="20">
        <v>-3.9127439433859199</v>
      </c>
      <c r="F35" s="20">
        <v>45782.78</v>
      </c>
      <c r="G35" s="20">
        <v>87.622502514185499</v>
      </c>
      <c r="H35" s="20"/>
      <c r="I35" s="20">
        <v>38765.019999999997</v>
      </c>
      <c r="J35" s="20">
        <v>34849.879999999997</v>
      </c>
    </row>
    <row r="36" spans="1:10" x14ac:dyDescent="0.3">
      <c r="A36" s="16">
        <v>38989</v>
      </c>
      <c r="B36" s="17">
        <v>38475.4</v>
      </c>
      <c r="C36" s="24">
        <f t="shared" si="0"/>
        <v>0.10640595920301636</v>
      </c>
      <c r="D36" s="17">
        <v>2031.0699999999899</v>
      </c>
      <c r="E36" s="17">
        <v>5.5730754276454002</v>
      </c>
      <c r="F36" s="17">
        <v>48334.3</v>
      </c>
      <c r="G36" s="17">
        <v>98.078891742078497</v>
      </c>
      <c r="H36" s="17"/>
      <c r="I36" s="17">
        <v>38475.4</v>
      </c>
      <c r="J36" s="17">
        <v>35183.39</v>
      </c>
    </row>
    <row r="37" spans="1:10" x14ac:dyDescent="0.3">
      <c r="A37" s="19">
        <v>39080</v>
      </c>
      <c r="B37" s="20">
        <v>41434.199999999997</v>
      </c>
      <c r="C37" s="24">
        <f t="shared" si="0"/>
        <v>0.16047979561045311</v>
      </c>
      <c r="D37" s="20">
        <v>2958.7999999999902</v>
      </c>
      <c r="E37" s="20">
        <v>7.69010848490203</v>
      </c>
      <c r="F37" s="20">
        <v>52433.94</v>
      </c>
      <c r="G37" s="20">
        <v>114.87963464601</v>
      </c>
      <c r="H37" s="20"/>
      <c r="I37" s="20">
        <v>41434.199999999997</v>
      </c>
      <c r="J37" s="20">
        <v>38398.99</v>
      </c>
    </row>
    <row r="38" spans="1:10" x14ac:dyDescent="0.3">
      <c r="A38" s="16">
        <v>39171</v>
      </c>
      <c r="B38" s="17">
        <v>41770.6</v>
      </c>
      <c r="C38" s="24">
        <f t="shared" ref="C38:C69" si="1">(B38-B34)/B34</f>
        <v>0.10130227056949707</v>
      </c>
      <c r="D38" s="17">
        <v>336.400000000001</v>
      </c>
      <c r="E38" s="17">
        <v>0.81188969498626695</v>
      </c>
      <c r="F38" s="17">
        <v>52859.64</v>
      </c>
      <c r="G38" s="17">
        <v>116.624196669554</v>
      </c>
      <c r="H38" s="17"/>
      <c r="I38" s="17">
        <v>42992.88</v>
      </c>
      <c r="J38" s="17">
        <v>39290.47</v>
      </c>
    </row>
    <row r="39" spans="1:10" x14ac:dyDescent="0.3">
      <c r="A39" s="19">
        <v>39262</v>
      </c>
      <c r="B39" s="20">
        <v>41953.57</v>
      </c>
      <c r="C39" s="24">
        <f t="shared" si="1"/>
        <v>0.15116864543812433</v>
      </c>
      <c r="D39" s="20">
        <v>182.97000000000099</v>
      </c>
      <c r="E39" s="20">
        <v>0.43803536458657499</v>
      </c>
      <c r="F39" s="20">
        <v>54816.86</v>
      </c>
      <c r="G39" s="20">
        <v>124.645083875853</v>
      </c>
      <c r="H39" s="20"/>
      <c r="I39" s="20">
        <v>44364.41</v>
      </c>
      <c r="J39" s="20">
        <v>41438.61</v>
      </c>
    </row>
    <row r="40" spans="1:10" x14ac:dyDescent="0.3">
      <c r="A40" s="16">
        <v>39356</v>
      </c>
      <c r="B40" s="17">
        <v>40416.980000000003</v>
      </c>
      <c r="C40" s="24">
        <f t="shared" si="1"/>
        <v>5.0462893173300383E-2</v>
      </c>
      <c r="D40" s="17">
        <v>-1536.5899999999899</v>
      </c>
      <c r="E40" s="17">
        <v>-3.6625965323093999</v>
      </c>
      <c r="F40" s="17">
        <v>52809.14</v>
      </c>
      <c r="G40" s="17">
        <v>116.4172425183</v>
      </c>
      <c r="H40" s="17"/>
      <c r="I40" s="17">
        <v>42545.47</v>
      </c>
      <c r="J40" s="17">
        <v>37921.47</v>
      </c>
    </row>
    <row r="41" spans="1:10" x14ac:dyDescent="0.3">
      <c r="A41" s="19">
        <v>39444</v>
      </c>
      <c r="B41" s="20">
        <v>38553.67</v>
      </c>
      <c r="C41" s="24">
        <f t="shared" si="1"/>
        <v>-6.9520589271664449E-2</v>
      </c>
      <c r="D41" s="20">
        <v>-1863.31</v>
      </c>
      <c r="E41" s="20">
        <v>-4.6102158053372699</v>
      </c>
      <c r="F41" s="20">
        <v>50740.800000000003</v>
      </c>
      <c r="G41" s="20">
        <v>107.940974217201</v>
      </c>
      <c r="H41" s="20"/>
      <c r="I41" s="20">
        <v>41105.82</v>
      </c>
      <c r="J41" s="20">
        <v>37358.46</v>
      </c>
    </row>
    <row r="42" spans="1:10" x14ac:dyDescent="0.3">
      <c r="A42" s="16">
        <v>39539</v>
      </c>
      <c r="B42" s="17">
        <v>32513.19</v>
      </c>
      <c r="C42" s="24">
        <f t="shared" si="1"/>
        <v>-0.2216250185537196</v>
      </c>
      <c r="D42" s="17">
        <v>-6040.48</v>
      </c>
      <c r="E42" s="17">
        <v>-15.6677172367766</v>
      </c>
      <c r="F42" s="17">
        <v>42790.879999999997</v>
      </c>
      <c r="G42" s="17">
        <v>75.361391125314199</v>
      </c>
      <c r="H42" s="17"/>
      <c r="I42" s="17">
        <v>38062.910000000003</v>
      </c>
      <c r="J42" s="17">
        <v>30370.98</v>
      </c>
    </row>
    <row r="43" spans="1:10" x14ac:dyDescent="0.3">
      <c r="A43" s="19">
        <v>39630</v>
      </c>
      <c r="B43" s="20">
        <v>28786.44</v>
      </c>
      <c r="C43" s="24">
        <f t="shared" si="1"/>
        <v>-0.31385004899463864</v>
      </c>
      <c r="D43" s="20">
        <v>-3726.75</v>
      </c>
      <c r="E43" s="20">
        <v>-11.462271158259099</v>
      </c>
      <c r="F43" s="20">
        <v>39546.730000000003</v>
      </c>
      <c r="G43" s="20">
        <v>62.066533505672098</v>
      </c>
      <c r="H43" s="20"/>
      <c r="I43" s="20">
        <v>34546.81</v>
      </c>
      <c r="J43" s="20">
        <v>28786.44</v>
      </c>
    </row>
    <row r="44" spans="1:10" x14ac:dyDescent="0.3">
      <c r="A44" s="16">
        <v>39722</v>
      </c>
      <c r="B44" s="17">
        <v>25681.01</v>
      </c>
      <c r="C44" s="24">
        <f t="shared" si="1"/>
        <v>-0.36459849300962127</v>
      </c>
      <c r="D44" s="17">
        <v>-3105.43</v>
      </c>
      <c r="E44" s="17">
        <v>-10.7878223218987</v>
      </c>
      <c r="F44" s="17">
        <v>35461.279999999999</v>
      </c>
      <c r="G44" s="17">
        <v>45.3239426691921</v>
      </c>
      <c r="H44" s="17"/>
      <c r="I44" s="17">
        <v>29556.65</v>
      </c>
      <c r="J44" s="17">
        <v>25530.09</v>
      </c>
    </row>
    <row r="45" spans="1:10" x14ac:dyDescent="0.3">
      <c r="A45" s="19">
        <v>39812</v>
      </c>
      <c r="B45" s="20">
        <v>19459.53</v>
      </c>
      <c r="C45" s="24">
        <f t="shared" si="1"/>
        <v>-0.49526128122173585</v>
      </c>
      <c r="D45" s="20">
        <v>-6221.48</v>
      </c>
      <c r="E45" s="20">
        <v>-24.2259942268625</v>
      </c>
      <c r="F45" s="20">
        <v>27061.78</v>
      </c>
      <c r="G45" s="20">
        <v>10.901934877880599</v>
      </c>
      <c r="H45" s="20"/>
      <c r="I45" s="20">
        <v>25910.51</v>
      </c>
      <c r="J45" s="20">
        <v>17968.14</v>
      </c>
    </row>
    <row r="46" spans="1:10" x14ac:dyDescent="0.3">
      <c r="A46" s="16">
        <v>39904</v>
      </c>
      <c r="B46" s="17">
        <v>16046.77</v>
      </c>
      <c r="C46" s="24">
        <f t="shared" si="1"/>
        <v>-0.50645353470391552</v>
      </c>
      <c r="D46" s="17">
        <v>-3412.7599999999902</v>
      </c>
      <c r="E46" s="17">
        <v>-17.537730870170002</v>
      </c>
      <c r="F46" s="17">
        <v>22322.67</v>
      </c>
      <c r="G46" s="17">
        <v>-8.5194213152120799</v>
      </c>
      <c r="H46" s="17"/>
      <c r="I46" s="17">
        <v>20728.62</v>
      </c>
      <c r="J46" s="17">
        <v>12620.57</v>
      </c>
    </row>
    <row r="47" spans="1:10" x14ac:dyDescent="0.3">
      <c r="A47" s="19">
        <v>39995</v>
      </c>
      <c r="B47" s="20">
        <v>19443.18</v>
      </c>
      <c r="C47" s="24">
        <f t="shared" si="1"/>
        <v>-0.32457156911379104</v>
      </c>
      <c r="D47" s="20">
        <v>3396.41</v>
      </c>
      <c r="E47" s="20">
        <v>21.1656925350085</v>
      </c>
      <c r="F47" s="20">
        <v>28020.97</v>
      </c>
      <c r="G47" s="20">
        <v>14.832793340092399</v>
      </c>
      <c r="H47" s="20"/>
      <c r="I47" s="20">
        <v>20585.060000000001</v>
      </c>
      <c r="J47" s="20">
        <v>16561.18</v>
      </c>
    </row>
    <row r="48" spans="1:10" x14ac:dyDescent="0.3">
      <c r="A48" s="16">
        <v>40087</v>
      </c>
      <c r="B48" s="17">
        <v>23053.51</v>
      </c>
      <c r="C48" s="24">
        <f t="shared" si="1"/>
        <v>-0.10231295420234642</v>
      </c>
      <c r="D48" s="17">
        <v>3610.3299999999899</v>
      </c>
      <c r="E48" s="17">
        <v>18.568618919333101</v>
      </c>
      <c r="F48" s="17">
        <v>33365.29</v>
      </c>
      <c r="G48" s="17">
        <v>36.734361847653801</v>
      </c>
      <c r="H48" s="17"/>
      <c r="I48" s="17">
        <v>23583.01</v>
      </c>
      <c r="J48" s="17">
        <v>17836.990000000002</v>
      </c>
    </row>
    <row r="49" spans="1:10" x14ac:dyDescent="0.3">
      <c r="A49" s="19">
        <v>40177</v>
      </c>
      <c r="B49" s="20">
        <v>23248.39</v>
      </c>
      <c r="C49" s="24">
        <f t="shared" si="1"/>
        <v>0.19470459975138149</v>
      </c>
      <c r="D49" s="20">
        <v>194.88000000000099</v>
      </c>
      <c r="E49" s="20">
        <v>0.84533765140319905</v>
      </c>
      <c r="F49" s="20">
        <v>33782.6</v>
      </c>
      <c r="G49" s="20">
        <v>38.444540795376</v>
      </c>
      <c r="H49" s="20"/>
      <c r="I49" s="20">
        <v>24425.98</v>
      </c>
      <c r="J49" s="20">
        <v>21922.45</v>
      </c>
    </row>
    <row r="50" spans="1:10" x14ac:dyDescent="0.3">
      <c r="A50" s="16">
        <v>40269</v>
      </c>
      <c r="B50" s="17">
        <v>23206.66</v>
      </c>
      <c r="C50" s="24">
        <f t="shared" si="1"/>
        <v>0.44618885919097734</v>
      </c>
      <c r="D50" s="17">
        <v>-41.729999999999499</v>
      </c>
      <c r="E50" s="17">
        <v>-0.17949630060404201</v>
      </c>
      <c r="F50" s="17">
        <v>33723.89</v>
      </c>
      <c r="G50" s="17">
        <v>38.203941226660199</v>
      </c>
      <c r="H50" s="17"/>
      <c r="I50" s="17">
        <v>23811.13</v>
      </c>
      <c r="J50" s="17">
        <v>20815.88</v>
      </c>
    </row>
    <row r="51" spans="1:10" x14ac:dyDescent="0.3">
      <c r="A51" s="19">
        <v>40360</v>
      </c>
      <c r="B51" s="20">
        <v>18943.759999999998</v>
      </c>
      <c r="C51" s="24">
        <f t="shared" si="1"/>
        <v>-2.5686127475032475E-2</v>
      </c>
      <c r="D51" s="20">
        <v>-4262.8999999999996</v>
      </c>
      <c r="E51" s="20">
        <v>-18.369295710800198</v>
      </c>
      <c r="F51" s="20">
        <v>28333.96</v>
      </c>
      <c r="G51" s="20">
        <v>16.115458286649101</v>
      </c>
      <c r="H51" s="20"/>
      <c r="I51" s="20">
        <v>23539.24</v>
      </c>
      <c r="J51" s="20">
        <v>18382.71</v>
      </c>
    </row>
    <row r="52" spans="1:10" x14ac:dyDescent="0.3">
      <c r="A52" s="16">
        <v>40452</v>
      </c>
      <c r="B52" s="17">
        <v>20391.27</v>
      </c>
      <c r="C52" s="24">
        <f t="shared" si="1"/>
        <v>-0.11548089640145896</v>
      </c>
      <c r="D52" s="17">
        <v>1447.51</v>
      </c>
      <c r="E52" s="17">
        <v>7.6410913145014501</v>
      </c>
      <c r="F52" s="17">
        <v>30646.28</v>
      </c>
      <c r="G52" s="17">
        <v>25.591581514937101</v>
      </c>
      <c r="H52" s="17"/>
      <c r="I52" s="17">
        <v>21547.84</v>
      </c>
      <c r="J52" s="17">
        <v>18848.560000000001</v>
      </c>
    </row>
    <row r="53" spans="1:10" x14ac:dyDescent="0.3">
      <c r="A53" s="19">
        <v>40542</v>
      </c>
      <c r="B53" s="20">
        <v>20173.29</v>
      </c>
      <c r="C53" s="24">
        <f t="shared" si="1"/>
        <v>-0.13227152503893813</v>
      </c>
      <c r="D53" s="20">
        <v>-217.979999999999</v>
      </c>
      <c r="E53" s="20">
        <v>-1.0689868752657301</v>
      </c>
      <c r="F53" s="20">
        <v>30470.66</v>
      </c>
      <c r="G53" s="20">
        <v>24.8718728408125</v>
      </c>
      <c r="H53" s="20"/>
      <c r="I53" s="20">
        <v>21616.43</v>
      </c>
      <c r="J53" s="20">
        <v>19105.71</v>
      </c>
    </row>
    <row r="54" spans="1:10" x14ac:dyDescent="0.3">
      <c r="A54" s="16">
        <v>40634</v>
      </c>
      <c r="B54" s="17">
        <v>21967.77</v>
      </c>
      <c r="C54" s="24">
        <f t="shared" si="1"/>
        <v>-5.3385105827378841E-2</v>
      </c>
      <c r="D54" s="17">
        <v>1794.47999999999</v>
      </c>
      <c r="E54" s="17">
        <v>8.8953264440257307</v>
      </c>
      <c r="F54" s="17">
        <v>33185.19</v>
      </c>
      <c r="G54" s="17">
        <v>35.9962936765466</v>
      </c>
      <c r="H54" s="17"/>
      <c r="I54" s="17">
        <v>23178.38</v>
      </c>
      <c r="J54" s="17">
        <v>20058.18</v>
      </c>
    </row>
    <row r="55" spans="1:10" x14ac:dyDescent="0.3">
      <c r="A55" s="19">
        <v>40725</v>
      </c>
      <c r="B55" s="20">
        <v>20516.990000000002</v>
      </c>
      <c r="C55" s="24">
        <f t="shared" si="1"/>
        <v>8.3047399249146073E-2</v>
      </c>
      <c r="D55" s="20">
        <v>-1450.77999999999</v>
      </c>
      <c r="E55" s="20">
        <v>-6.6041295953116697</v>
      </c>
      <c r="F55" s="20">
        <v>31885.74</v>
      </c>
      <c r="G55" s="20">
        <v>30.6710150261008</v>
      </c>
      <c r="H55" s="20"/>
      <c r="I55" s="20">
        <v>22417.96</v>
      </c>
      <c r="J55" s="20">
        <v>19154.36</v>
      </c>
    </row>
    <row r="56" spans="1:10" x14ac:dyDescent="0.3">
      <c r="A56" s="16">
        <v>40816</v>
      </c>
      <c r="B56" s="17">
        <v>14836.33</v>
      </c>
      <c r="C56" s="24">
        <f t="shared" si="1"/>
        <v>-0.27241755908288207</v>
      </c>
      <c r="D56" s="17">
        <v>-5680.66</v>
      </c>
      <c r="E56" s="17">
        <v>-27.6875896513085</v>
      </c>
      <c r="F56" s="17">
        <v>23196.080000000002</v>
      </c>
      <c r="G56" s="17">
        <v>-4.9400980429923598</v>
      </c>
      <c r="H56" s="17"/>
      <c r="I56" s="17">
        <v>20476.150000000001</v>
      </c>
      <c r="J56" s="17">
        <v>13474.14</v>
      </c>
    </row>
    <row r="57" spans="1:10" x14ac:dyDescent="0.3">
      <c r="A57" s="19">
        <v>40907</v>
      </c>
      <c r="B57" s="20">
        <v>15089.74</v>
      </c>
      <c r="C57" s="24">
        <f t="shared" si="1"/>
        <v>-0.2519940971452847</v>
      </c>
      <c r="D57" s="20">
        <v>253.409999999999</v>
      </c>
      <c r="E57" s="20">
        <v>1.7080369606229999</v>
      </c>
      <c r="F57" s="20">
        <v>23755.96</v>
      </c>
      <c r="G57" s="20">
        <v>-2.6456526924120398</v>
      </c>
      <c r="H57" s="20"/>
      <c r="I57" s="20">
        <v>16954.68</v>
      </c>
      <c r="J57" s="20">
        <v>13915.78</v>
      </c>
    </row>
    <row r="58" spans="1:10" x14ac:dyDescent="0.3">
      <c r="A58" s="16">
        <v>40998</v>
      </c>
      <c r="B58" s="17">
        <v>15980.07</v>
      </c>
      <c r="C58" s="24">
        <f t="shared" si="1"/>
        <v>-0.27256749319571355</v>
      </c>
      <c r="D58" s="17">
        <v>890.32999999999902</v>
      </c>
      <c r="E58" s="17">
        <v>5.9002341988662499</v>
      </c>
      <c r="F58" s="17">
        <v>25164.35</v>
      </c>
      <c r="G58" s="17">
        <v>3.1260731904625501</v>
      </c>
      <c r="H58" s="17"/>
      <c r="I58" s="17">
        <v>17158.650000000001</v>
      </c>
      <c r="J58" s="17">
        <v>14401.55</v>
      </c>
    </row>
    <row r="59" spans="1:10" x14ac:dyDescent="0.3">
      <c r="A59" s="19">
        <v>41089</v>
      </c>
      <c r="B59" s="20">
        <v>14274.37</v>
      </c>
      <c r="C59" s="24">
        <f t="shared" si="1"/>
        <v>-0.30426587915673792</v>
      </c>
      <c r="D59" s="20">
        <v>-1705.69999999999</v>
      </c>
      <c r="E59" s="20">
        <v>-10.673920702475</v>
      </c>
      <c r="F59" s="20">
        <v>23196.1</v>
      </c>
      <c r="G59" s="20">
        <v>-4.9400160809522697</v>
      </c>
      <c r="H59" s="20">
        <v>16455.16</v>
      </c>
      <c r="I59" s="20">
        <v>16014.39</v>
      </c>
      <c r="J59" s="20">
        <v>12568.05</v>
      </c>
    </row>
    <row r="60" spans="1:10" x14ac:dyDescent="0.3">
      <c r="A60" s="16">
        <v>41183</v>
      </c>
      <c r="B60" s="17">
        <v>15523.1</v>
      </c>
      <c r="C60" s="24">
        <f t="shared" si="1"/>
        <v>4.6289749553966544E-2</v>
      </c>
      <c r="D60" s="17">
        <v>1248.72999999999</v>
      </c>
      <c r="E60" s="17">
        <v>8.7480568319302208</v>
      </c>
      <c r="F60" s="17">
        <v>25347.22</v>
      </c>
      <c r="G60" s="17">
        <v>3.8754931041237501</v>
      </c>
      <c r="H60" s="17">
        <v>14494.41</v>
      </c>
      <c r="I60" s="17">
        <v>16694.79</v>
      </c>
      <c r="J60" s="17">
        <v>12295.76</v>
      </c>
    </row>
    <row r="61" spans="1:10" x14ac:dyDescent="0.3">
      <c r="A61" s="19">
        <v>41271</v>
      </c>
      <c r="B61" s="20">
        <v>16273.38</v>
      </c>
      <c r="C61" s="24">
        <f t="shared" si="1"/>
        <v>7.8440052645042224E-2</v>
      </c>
      <c r="D61" s="20">
        <v>750.27999999999804</v>
      </c>
      <c r="E61" s="20">
        <v>4.8333129336279397</v>
      </c>
      <c r="F61" s="20">
        <v>26650.17</v>
      </c>
      <c r="G61" s="20">
        <v>9.2151151115872008</v>
      </c>
      <c r="H61" s="20">
        <v>15758.6</v>
      </c>
      <c r="I61" s="20">
        <v>16503.080000000002</v>
      </c>
      <c r="J61" s="20">
        <v>14855.79</v>
      </c>
    </row>
    <row r="62" spans="1:10" x14ac:dyDescent="0.3">
      <c r="A62" s="16">
        <v>41361</v>
      </c>
      <c r="B62" s="17">
        <v>15338.72</v>
      </c>
      <c r="C62" s="24">
        <f t="shared" si="1"/>
        <v>-4.013436737135697E-2</v>
      </c>
      <c r="D62" s="17">
        <v>-934.65999999999894</v>
      </c>
      <c r="E62" s="17">
        <v>-5.7434902890487303</v>
      </c>
      <c r="F62" s="17">
        <v>25125.93</v>
      </c>
      <c r="G62" s="17">
        <v>2.9686241114290302</v>
      </c>
      <c r="H62" s="17">
        <v>16866.61</v>
      </c>
      <c r="I62" s="17">
        <v>17982.900000000001</v>
      </c>
      <c r="J62" s="17">
        <v>15197.06</v>
      </c>
    </row>
    <row r="63" spans="1:10" x14ac:dyDescent="0.3">
      <c r="A63" s="19">
        <v>41456</v>
      </c>
      <c r="B63" s="20">
        <v>15459.57451884</v>
      </c>
      <c r="C63" s="24">
        <f t="shared" si="1"/>
        <v>8.3030250640833803E-2</v>
      </c>
      <c r="D63" s="20">
        <v>120.85451884</v>
      </c>
      <c r="E63" s="20">
        <v>0.78790485020914203</v>
      </c>
      <c r="F63" s="20">
        <v>25983.82313665</v>
      </c>
      <c r="G63" s="20">
        <v>6.4843576948421999</v>
      </c>
      <c r="H63" s="20">
        <v>15481.8</v>
      </c>
      <c r="I63" s="20">
        <v>17644.73</v>
      </c>
      <c r="J63" s="20">
        <v>14901.82</v>
      </c>
    </row>
    <row r="64" spans="1:10" x14ac:dyDescent="0.3">
      <c r="A64" s="16">
        <v>41548</v>
      </c>
      <c r="B64" s="17">
        <v>17977.059323490001</v>
      </c>
      <c r="C64" s="24">
        <f t="shared" si="1"/>
        <v>0.15808435966334045</v>
      </c>
      <c r="D64" s="17">
        <v>2517.4848046500001</v>
      </c>
      <c r="E64" s="17">
        <v>16.284308481983299</v>
      </c>
      <c r="F64" s="17">
        <v>30361.28743851</v>
      </c>
      <c r="G64" s="17">
        <v>24.423652927274201</v>
      </c>
      <c r="H64" s="17">
        <v>15359.11</v>
      </c>
      <c r="I64" s="17">
        <v>18142.98</v>
      </c>
      <c r="J64" s="17">
        <v>15024.01</v>
      </c>
    </row>
    <row r="65" spans="1:10" x14ac:dyDescent="0.3">
      <c r="A65" s="19">
        <v>41638</v>
      </c>
      <c r="B65" s="20">
        <v>18967.709701240001</v>
      </c>
      <c r="C65" s="24">
        <f t="shared" si="1"/>
        <v>0.16556669242898536</v>
      </c>
      <c r="D65" s="20">
        <v>990.65037774999996</v>
      </c>
      <c r="E65" s="20">
        <v>5.5106364168001098</v>
      </c>
      <c r="F65" s="20">
        <v>32113.969021019999</v>
      </c>
      <c r="G65" s="20">
        <v>31.606320834750498</v>
      </c>
      <c r="H65" s="20">
        <v>17986.89</v>
      </c>
      <c r="I65" s="20">
        <v>19501.18</v>
      </c>
      <c r="J65" s="20">
        <v>17749.71</v>
      </c>
    </row>
    <row r="66" spans="1:10" x14ac:dyDescent="0.3">
      <c r="A66" s="16">
        <v>41730</v>
      </c>
      <c r="B66" s="17">
        <v>21915.406898739999</v>
      </c>
      <c r="C66" s="24">
        <f t="shared" si="1"/>
        <v>0.42876373639651805</v>
      </c>
      <c r="D66" s="17">
        <v>2947.6971974999901</v>
      </c>
      <c r="E66" s="17">
        <v>15.540606873097</v>
      </c>
      <c r="F66" s="17">
        <v>37110.677490759997</v>
      </c>
      <c r="G66" s="17">
        <v>52.083341833179297</v>
      </c>
      <c r="H66" s="17">
        <v>19002.98</v>
      </c>
      <c r="I66" s="17">
        <v>21937.54</v>
      </c>
      <c r="J66" s="17">
        <v>18790.05</v>
      </c>
    </row>
    <row r="67" spans="1:10" x14ac:dyDescent="0.3">
      <c r="A67" s="19">
        <v>41821</v>
      </c>
      <c r="B67" s="20">
        <v>21563.43291385</v>
      </c>
      <c r="C67" s="24">
        <f t="shared" si="1"/>
        <v>0.39482706251530131</v>
      </c>
      <c r="D67" s="20">
        <v>-351.97398488999897</v>
      </c>
      <c r="E67" s="20">
        <v>-1.60605726608815</v>
      </c>
      <c r="F67" s="20">
        <v>37261.686233810004</v>
      </c>
      <c r="G67" s="20">
        <v>52.702191065850698</v>
      </c>
      <c r="H67" s="20">
        <v>21047.29</v>
      </c>
      <c r="I67" s="20">
        <v>22590.18</v>
      </c>
      <c r="J67" s="20">
        <v>19935.599999999999</v>
      </c>
    </row>
    <row r="68" spans="1:10" x14ac:dyDescent="0.3">
      <c r="A68" s="16">
        <v>41913</v>
      </c>
      <c r="B68" s="17">
        <v>20706.314226859999</v>
      </c>
      <c r="C68" s="24">
        <f t="shared" si="1"/>
        <v>0.15181876269406172</v>
      </c>
      <c r="D68" s="17">
        <v>-857.11868699000104</v>
      </c>
      <c r="E68" s="17">
        <v>-3.9748712109725401</v>
      </c>
      <c r="F68" s="17">
        <v>35948.622826300001</v>
      </c>
      <c r="G68" s="17">
        <v>47.321123282792797</v>
      </c>
      <c r="H68" s="17">
        <v>21709.91</v>
      </c>
      <c r="I68" s="17">
        <v>21896.15</v>
      </c>
      <c r="J68" s="17">
        <v>18885.580000000002</v>
      </c>
    </row>
    <row r="69" spans="1:10" x14ac:dyDescent="0.3">
      <c r="A69" s="19">
        <v>42003</v>
      </c>
      <c r="B69" s="20">
        <v>19011.964766239998</v>
      </c>
      <c r="C69" s="24">
        <f t="shared" si="1"/>
        <v>2.3331791606397484E-3</v>
      </c>
      <c r="D69" s="20">
        <v>-1694.3494606199999</v>
      </c>
      <c r="E69" s="20">
        <v>-8.1827670634984795</v>
      </c>
      <c r="F69" s="20">
        <v>33067.058306200001</v>
      </c>
      <c r="G69" s="20">
        <v>35.5121779453264</v>
      </c>
      <c r="H69" s="20">
        <v>20679.96</v>
      </c>
      <c r="I69" s="20">
        <v>20715.84</v>
      </c>
      <c r="J69" s="20">
        <v>17555.77</v>
      </c>
    </row>
    <row r="70" spans="1:10" x14ac:dyDescent="0.3">
      <c r="A70" s="16">
        <v>42095</v>
      </c>
      <c r="B70" s="17">
        <v>23358.992265019999</v>
      </c>
      <c r="C70" s="24">
        <f t="shared" ref="C70:C101" si="2">(B70-B66)/B66</f>
        <v>6.5870799157418211E-2</v>
      </c>
      <c r="D70" s="17">
        <v>4347.0274987800003</v>
      </c>
      <c r="E70" s="17">
        <v>22.864693640181301</v>
      </c>
      <c r="F70" s="17">
        <v>40643.173547109996</v>
      </c>
      <c r="G70" s="17">
        <v>66.5598710044939</v>
      </c>
      <c r="H70" s="17">
        <v>19156.72</v>
      </c>
      <c r="I70" s="17">
        <v>23447.360000000001</v>
      </c>
      <c r="J70" s="17">
        <v>17991.759999999998</v>
      </c>
    </row>
    <row r="71" spans="1:10" x14ac:dyDescent="0.3">
      <c r="A71" s="19">
        <v>42186</v>
      </c>
      <c r="B71" s="20">
        <v>22943.63549606</v>
      </c>
      <c r="C71" s="24">
        <f t="shared" si="2"/>
        <v>6.4006625833844324E-2</v>
      </c>
      <c r="D71" s="20">
        <v>-415.35676895999802</v>
      </c>
      <c r="E71" s="20">
        <v>-1.7781450682784501</v>
      </c>
      <c r="F71" s="20">
        <v>40789.971630400003</v>
      </c>
      <c r="G71" s="20">
        <v>67.161464523960305</v>
      </c>
      <c r="H71" s="20">
        <v>23022.2</v>
      </c>
      <c r="I71" s="20">
        <v>24081.74</v>
      </c>
      <c r="J71" s="20">
        <v>21855.05</v>
      </c>
    </row>
    <row r="72" spans="1:10" x14ac:dyDescent="0.3">
      <c r="A72" s="16">
        <v>42278</v>
      </c>
      <c r="B72" s="17">
        <v>21142.85727805</v>
      </c>
      <c r="C72" s="24">
        <f t="shared" si="2"/>
        <v>2.1082605354444131E-2</v>
      </c>
      <c r="D72" s="17">
        <v>-1800.77821801</v>
      </c>
      <c r="E72" s="17">
        <v>-7.8487047892616602</v>
      </c>
      <c r="F72" s="17">
        <v>37719.929497969999</v>
      </c>
      <c r="G72" s="17">
        <v>54.5801187054997</v>
      </c>
      <c r="H72" s="17">
        <v>21874.02</v>
      </c>
      <c r="I72" s="17">
        <v>24157.39</v>
      </c>
      <c r="J72" s="17">
        <v>20158.22</v>
      </c>
    </row>
    <row r="73" spans="1:10" x14ac:dyDescent="0.3">
      <c r="A73" s="19">
        <v>42368</v>
      </c>
      <c r="B73" s="20">
        <v>21418.367061149998</v>
      </c>
      <c r="C73" s="24">
        <f t="shared" si="2"/>
        <v>0.12657304621051613</v>
      </c>
      <c r="D73" s="20">
        <v>275.509783099998</v>
      </c>
      <c r="E73" s="20">
        <v>1.3030868036271801</v>
      </c>
      <c r="F73" s="20">
        <v>38286.332576120003</v>
      </c>
      <c r="G73" s="20">
        <v>56.901296295725601</v>
      </c>
      <c r="H73" s="20">
        <v>20963.21</v>
      </c>
      <c r="I73" s="20">
        <v>22874.959999999999</v>
      </c>
      <c r="J73" s="20">
        <v>20506.560000000001</v>
      </c>
    </row>
    <row r="74" spans="1:10" x14ac:dyDescent="0.3">
      <c r="A74" s="16">
        <v>42461</v>
      </c>
      <c r="B74" s="17">
        <v>17776.836308499998</v>
      </c>
      <c r="C74" s="24">
        <f t="shared" si="2"/>
        <v>-0.23897246478732978</v>
      </c>
      <c r="D74" s="17">
        <v>-3641.5307526500001</v>
      </c>
      <c r="E74" s="17">
        <v>-17.0019065517615</v>
      </c>
      <c r="F74" s="17">
        <v>31783.726198240001</v>
      </c>
      <c r="G74" s="17">
        <v>30.252952060566599</v>
      </c>
      <c r="H74" s="17">
        <v>21595.33</v>
      </c>
      <c r="I74" s="17">
        <v>21194.17</v>
      </c>
      <c r="J74" s="17">
        <v>15773</v>
      </c>
    </row>
    <row r="75" spans="1:10" x14ac:dyDescent="0.3">
      <c r="A75" s="19">
        <v>42552</v>
      </c>
      <c r="B75" s="20">
        <v>16295.78137681</v>
      </c>
      <c r="C75" s="24">
        <f t="shared" si="2"/>
        <v>-0.2897471989733974</v>
      </c>
      <c r="D75" s="20">
        <v>-1481.0549316899901</v>
      </c>
      <c r="E75" s="20">
        <v>-8.3313752007820998</v>
      </c>
      <c r="F75" s="20">
        <v>30104.68063866</v>
      </c>
      <c r="G75" s="20">
        <v>23.372052086302698</v>
      </c>
      <c r="H75" s="20">
        <v>17700.02</v>
      </c>
      <c r="I75" s="20">
        <v>19062.810000000001</v>
      </c>
      <c r="J75" s="20">
        <v>15017.42</v>
      </c>
    </row>
    <row r="76" spans="1:10" x14ac:dyDescent="0.3">
      <c r="A76" s="16">
        <v>42643</v>
      </c>
      <c r="B76" s="17">
        <v>16400.99840583</v>
      </c>
      <c r="C76" s="24">
        <f t="shared" si="2"/>
        <v>-0.22427710738713083</v>
      </c>
      <c r="D76" s="17">
        <v>105.217029019999</v>
      </c>
      <c r="E76" s="17">
        <v>0.64567035226510405</v>
      </c>
      <c r="F76" s="17">
        <v>30432.50703112</v>
      </c>
      <c r="G76" s="17">
        <v>24.715518082547199</v>
      </c>
      <c r="H76" s="17">
        <v>15894.78</v>
      </c>
      <c r="I76" s="17">
        <v>17397.53</v>
      </c>
      <c r="J76" s="17">
        <v>15293.1</v>
      </c>
    </row>
    <row r="77" spans="1:10" x14ac:dyDescent="0.3">
      <c r="A77" s="19">
        <v>42734</v>
      </c>
      <c r="B77" s="20">
        <v>19234.579559409998</v>
      </c>
      <c r="C77" s="24">
        <f t="shared" si="2"/>
        <v>-0.10195863650600578</v>
      </c>
      <c r="D77" s="20">
        <v>2833.5811535799899</v>
      </c>
      <c r="E77" s="20">
        <v>17.2768820742812</v>
      </c>
      <c r="F77" s="20">
        <v>35800.566225959999</v>
      </c>
      <c r="G77" s="20">
        <v>46.7143722320804</v>
      </c>
      <c r="H77" s="20">
        <v>16046.71</v>
      </c>
      <c r="I77" s="20">
        <v>19419.009999999998</v>
      </c>
      <c r="J77" s="20">
        <v>16039.59</v>
      </c>
    </row>
    <row r="78" spans="1:10" x14ac:dyDescent="0.3">
      <c r="A78" s="16">
        <v>42825</v>
      </c>
      <c r="B78" s="17">
        <v>20492.935236000001</v>
      </c>
      <c r="C78" s="24">
        <f t="shared" si="2"/>
        <v>0.15278865599956612</v>
      </c>
      <c r="D78" s="17">
        <v>1258.35567659</v>
      </c>
      <c r="E78" s="17">
        <v>6.5421532750602003</v>
      </c>
      <c r="F78" s="17">
        <v>38239.130268870002</v>
      </c>
      <c r="G78" s="17">
        <v>56.707856425741902</v>
      </c>
      <c r="H78" s="17">
        <v>19161.87</v>
      </c>
      <c r="I78" s="17">
        <v>20495.62</v>
      </c>
      <c r="J78" s="17">
        <v>18424.310000000001</v>
      </c>
    </row>
    <row r="79" spans="1:10" x14ac:dyDescent="0.3">
      <c r="A79" s="19">
        <v>42916</v>
      </c>
      <c r="B79" s="20">
        <v>20584.227538589999</v>
      </c>
      <c r="C79" s="24">
        <f t="shared" si="2"/>
        <v>0.2631629660841393</v>
      </c>
      <c r="D79" s="20">
        <v>91.292302589998101</v>
      </c>
      <c r="E79" s="20">
        <v>0.44548182843824302</v>
      </c>
      <c r="F79" s="20">
        <v>39257.217704460003</v>
      </c>
      <c r="G79" s="20">
        <v>60.8800825868367</v>
      </c>
      <c r="H79" s="20">
        <v>20371.98</v>
      </c>
      <c r="I79" s="20">
        <v>21828.77</v>
      </c>
      <c r="J79" s="20">
        <v>19442.71</v>
      </c>
    </row>
    <row r="80" spans="1:10" x14ac:dyDescent="0.3">
      <c r="A80" s="16">
        <v>43007</v>
      </c>
      <c r="B80" s="17">
        <v>22696.317808970001</v>
      </c>
      <c r="C80" s="24">
        <f t="shared" si="2"/>
        <v>0.38383757179698458</v>
      </c>
      <c r="D80" s="17">
        <v>2112.0902703800002</v>
      </c>
      <c r="E80" s="17">
        <v>10.260721547215599</v>
      </c>
      <c r="F80" s="17">
        <v>43507.782797289998</v>
      </c>
      <c r="G80" s="17">
        <v>78.299331916305206</v>
      </c>
      <c r="H80" s="17">
        <v>20988.34</v>
      </c>
      <c r="I80" s="17">
        <v>22696.32</v>
      </c>
      <c r="J80" s="17">
        <v>20703.95</v>
      </c>
    </row>
    <row r="81" spans="1:10" x14ac:dyDescent="0.3">
      <c r="A81" s="19">
        <v>43098</v>
      </c>
      <c r="B81" s="20">
        <v>21853.339221540002</v>
      </c>
      <c r="C81" s="24">
        <f t="shared" si="2"/>
        <v>0.1361485263580324</v>
      </c>
      <c r="D81" s="20">
        <v>-842.97858742999904</v>
      </c>
      <c r="E81" s="20">
        <v>-3.7141645377244399</v>
      </c>
      <c r="F81" s="20">
        <v>41989.790226210003</v>
      </c>
      <c r="G81" s="20">
        <v>72.078443517130395</v>
      </c>
      <c r="H81" s="20">
        <v>22656.19</v>
      </c>
      <c r="I81" s="20">
        <v>23133.42</v>
      </c>
      <c r="J81" s="20">
        <v>21833.8</v>
      </c>
    </row>
    <row r="82" spans="1:10" x14ac:dyDescent="0.3">
      <c r="A82" s="16">
        <v>43188</v>
      </c>
      <c r="B82" s="17">
        <v>22411.14842655</v>
      </c>
      <c r="C82" s="24">
        <f t="shared" si="2"/>
        <v>9.3603633079377926E-2</v>
      </c>
      <c r="D82" s="17">
        <v>557.80920500999798</v>
      </c>
      <c r="E82" s="17">
        <v>2.55251245292613</v>
      </c>
      <c r="F82" s="17">
        <v>43184.062441059999</v>
      </c>
      <c r="G82" s="17">
        <v>76.972692875367699</v>
      </c>
      <c r="H82" s="17">
        <v>21898.69</v>
      </c>
      <c r="I82" s="17">
        <v>24050.15</v>
      </c>
      <c r="J82" s="17">
        <v>21460.46</v>
      </c>
    </row>
    <row r="83" spans="1:10" x14ac:dyDescent="0.3">
      <c r="A83" s="19">
        <v>43280</v>
      </c>
      <c r="B83" s="20">
        <v>21626.2717476</v>
      </c>
      <c r="C83" s="24">
        <f t="shared" si="2"/>
        <v>5.0623430345221473E-2</v>
      </c>
      <c r="D83" s="20">
        <v>-784.87667895000004</v>
      </c>
      <c r="E83" s="20">
        <v>-3.5021707233002499</v>
      </c>
      <c r="F83" s="20">
        <v>42655.420975039997</v>
      </c>
      <c r="G83" s="20">
        <v>74.806266223525199</v>
      </c>
      <c r="H83" s="20">
        <v>22523.65</v>
      </c>
      <c r="I83" s="20">
        <v>24544.26</v>
      </c>
      <c r="J83" s="20">
        <v>21122.51</v>
      </c>
    </row>
    <row r="84" spans="1:10" x14ac:dyDescent="0.3">
      <c r="A84" s="16">
        <v>43374</v>
      </c>
      <c r="B84" s="17">
        <v>20609.986094709999</v>
      </c>
      <c r="C84" s="24">
        <f t="shared" si="2"/>
        <v>-9.1923797147193897E-2</v>
      </c>
      <c r="D84" s="17">
        <v>-1016.2856528900001</v>
      </c>
      <c r="E84" s="17">
        <v>-4.6993104717773804</v>
      </c>
      <c r="F84" s="17">
        <v>40904.88676442</v>
      </c>
      <c r="G84" s="17">
        <v>67.632398465096799</v>
      </c>
      <c r="H84" s="17">
        <v>21411</v>
      </c>
      <c r="I84" s="17">
        <v>22243.62</v>
      </c>
      <c r="J84" s="17">
        <v>20236.27</v>
      </c>
    </row>
    <row r="85" spans="1:10" x14ac:dyDescent="0.3">
      <c r="A85" s="19">
        <v>43462</v>
      </c>
      <c r="B85" s="20">
        <v>18324.028527359998</v>
      </c>
      <c r="C85" s="24">
        <f t="shared" si="2"/>
        <v>-0.1614998357185293</v>
      </c>
      <c r="D85" s="20">
        <v>-2285.9575673499999</v>
      </c>
      <c r="E85" s="20">
        <v>-11.0915046562634</v>
      </c>
      <c r="F85" s="20">
        <v>36437.642575580001</v>
      </c>
      <c r="G85" s="20">
        <v>49.325176097819998</v>
      </c>
      <c r="H85" s="20">
        <v>21651.01</v>
      </c>
      <c r="I85" s="20">
        <v>20870.5</v>
      </c>
      <c r="J85" s="20">
        <v>17914.03</v>
      </c>
    </row>
    <row r="86" spans="1:10" x14ac:dyDescent="0.3">
      <c r="A86" s="16">
        <v>43556</v>
      </c>
      <c r="B86" s="17">
        <v>21520.250720839998</v>
      </c>
      <c r="C86" s="24">
        <f t="shared" si="2"/>
        <v>-3.9752434313208809E-2</v>
      </c>
      <c r="D86" s="17">
        <v>3196.22219348</v>
      </c>
      <c r="E86" s="17">
        <v>17.4427920623876</v>
      </c>
      <c r="F86" s="17">
        <v>42980.514345629999</v>
      </c>
      <c r="G86" s="17">
        <v>76.138532017364398</v>
      </c>
      <c r="H86" s="17">
        <v>18375.599999999999</v>
      </c>
      <c r="I86" s="17">
        <v>21547.13</v>
      </c>
      <c r="J86" s="17">
        <v>17959.39</v>
      </c>
    </row>
    <row r="87" spans="1:10" x14ac:dyDescent="0.3">
      <c r="A87" s="19">
        <v>43647</v>
      </c>
      <c r="B87" s="20">
        <v>21254.04019168</v>
      </c>
      <c r="C87" s="24">
        <f t="shared" si="2"/>
        <v>-1.7212007703607465E-2</v>
      </c>
      <c r="D87" s="20">
        <v>-266.21052915999798</v>
      </c>
      <c r="E87" s="20">
        <v>-1.2370233628467999</v>
      </c>
      <c r="F87" s="20">
        <v>43714.638629430003</v>
      </c>
      <c r="G87" s="20">
        <v>79.147048216751898</v>
      </c>
      <c r="H87" s="20">
        <v>21165.279999999999</v>
      </c>
      <c r="I87" s="20">
        <v>22052.83</v>
      </c>
      <c r="J87" s="20">
        <v>19535.5</v>
      </c>
    </row>
    <row r="88" spans="1:10" x14ac:dyDescent="0.3">
      <c r="A88" s="16">
        <v>43739</v>
      </c>
      <c r="B88" s="17">
        <v>21927.56763071</v>
      </c>
      <c r="C88" s="24">
        <f t="shared" si="2"/>
        <v>6.392927826080326E-2</v>
      </c>
      <c r="D88" s="17">
        <v>673.52743902999998</v>
      </c>
      <c r="E88" s="17">
        <v>3.1689383898580101</v>
      </c>
      <c r="F88" s="17">
        <v>45392.47543264</v>
      </c>
      <c r="G88" s="17">
        <v>86.022994584112297</v>
      </c>
      <c r="H88" s="17">
        <v>21415.040000000001</v>
      </c>
      <c r="I88" s="17">
        <v>22357.39</v>
      </c>
      <c r="J88" s="17">
        <v>19936.13</v>
      </c>
    </row>
    <row r="89" spans="1:10" x14ac:dyDescent="0.3">
      <c r="A89" s="19">
        <v>43829</v>
      </c>
      <c r="B89" s="20">
        <v>23506.366298159999</v>
      </c>
      <c r="C89" s="24">
        <f t="shared" si="2"/>
        <v>0.28281650855662777</v>
      </c>
      <c r="D89" s="20">
        <v>1578.79866744999</v>
      </c>
      <c r="E89" s="20">
        <v>7.2000629255333202</v>
      </c>
      <c r="F89" s="20">
        <v>48753.756473820002</v>
      </c>
      <c r="G89" s="20">
        <v>99.797867158466204</v>
      </c>
      <c r="H89" s="20">
        <v>21795.59</v>
      </c>
      <c r="I89" s="20">
        <v>24003.64</v>
      </c>
      <c r="J89" s="20">
        <v>21127.43</v>
      </c>
    </row>
    <row r="90" spans="1:10" x14ac:dyDescent="0.3">
      <c r="A90" s="16">
        <v>43922</v>
      </c>
      <c r="B90" s="17">
        <v>16544.971953429998</v>
      </c>
      <c r="C90" s="24">
        <f t="shared" si="2"/>
        <v>-0.23119055776576009</v>
      </c>
      <c r="D90" s="17">
        <v>-6961.3943447299998</v>
      </c>
      <c r="E90" s="17">
        <v>-29.614931786691798</v>
      </c>
      <c r="F90" s="17">
        <v>34453.95407467</v>
      </c>
      <c r="G90" s="17">
        <v>41.195818274871101</v>
      </c>
      <c r="H90" s="17">
        <v>23709.9</v>
      </c>
      <c r="I90" s="17">
        <v>25483.05</v>
      </c>
      <c r="J90" s="17">
        <v>14153.09</v>
      </c>
    </row>
    <row r="91" spans="1:10" x14ac:dyDescent="0.3">
      <c r="A91" s="19">
        <v>44013</v>
      </c>
      <c r="B91" s="20">
        <v>19330.878901619999</v>
      </c>
      <c r="C91" s="24">
        <f t="shared" si="2"/>
        <v>-9.0484504250294598E-2</v>
      </c>
      <c r="D91" s="20">
        <v>2785.9069481900001</v>
      </c>
      <c r="E91" s="20">
        <v>16.838390273683299</v>
      </c>
      <c r="F91" s="20">
        <v>40764.455648880001</v>
      </c>
      <c r="G91" s="20">
        <v>67.0568974289327</v>
      </c>
      <c r="H91" s="20">
        <v>16876.509999999998</v>
      </c>
      <c r="I91" s="20">
        <v>20399.38</v>
      </c>
      <c r="J91" s="20">
        <v>16384.349999999999</v>
      </c>
    </row>
    <row r="92" spans="1:10" x14ac:dyDescent="0.3">
      <c r="A92" s="16">
        <v>44105</v>
      </c>
      <c r="B92" s="17">
        <v>19061.497882880001</v>
      </c>
      <c r="C92" s="24">
        <f t="shared" si="2"/>
        <v>-0.13070623226882724</v>
      </c>
      <c r="D92" s="17">
        <v>-269.38101873999699</v>
      </c>
      <c r="E92" s="17">
        <v>-1.39352700987341</v>
      </c>
      <c r="F92" s="17">
        <v>40379.256410180002</v>
      </c>
      <c r="G92" s="17">
        <v>65.478311656477402</v>
      </c>
      <c r="H92" s="17">
        <v>20120.830000000002</v>
      </c>
      <c r="I92" s="17">
        <v>21133.43</v>
      </c>
      <c r="J92" s="17">
        <v>18545.919999999998</v>
      </c>
    </row>
    <row r="93" spans="1:10" x14ac:dyDescent="0.3">
      <c r="A93" s="19">
        <v>44195</v>
      </c>
      <c r="B93" s="20">
        <v>22232.898734980001</v>
      </c>
      <c r="C93" s="24">
        <f t="shared" si="2"/>
        <v>-5.4175432605237717E-2</v>
      </c>
      <c r="D93" s="20">
        <v>3171.4008520999901</v>
      </c>
      <c r="E93" s="20">
        <v>16.637731575902901</v>
      </c>
      <c r="F93" s="20">
        <v>47141.063119730003</v>
      </c>
      <c r="G93" s="20">
        <v>93.188885290559497</v>
      </c>
      <c r="H93" s="20">
        <v>18935.849999999999</v>
      </c>
      <c r="I93" s="20">
        <v>22395.11</v>
      </c>
      <c r="J93" s="20">
        <v>17636.38</v>
      </c>
    </row>
    <row r="94" spans="1:10" x14ac:dyDescent="0.3">
      <c r="A94" s="16">
        <v>44287</v>
      </c>
      <c r="B94" s="17">
        <v>24709.995665869999</v>
      </c>
      <c r="C94" s="24">
        <f t="shared" si="2"/>
        <v>0.493504838534784</v>
      </c>
      <c r="D94" s="17">
        <v>2477.0969308899898</v>
      </c>
      <c r="E94" s="17">
        <v>11.1415832924776</v>
      </c>
      <c r="F94" s="17">
        <v>52590.856164830002</v>
      </c>
      <c r="G94" s="17">
        <v>115.522693095722</v>
      </c>
      <c r="H94" s="17">
        <v>22398.06</v>
      </c>
      <c r="I94" s="17">
        <v>24777.97</v>
      </c>
      <c r="J94" s="17">
        <v>21311.51</v>
      </c>
    </row>
    <row r="95" spans="1:10" x14ac:dyDescent="0.3">
      <c r="A95" s="19">
        <v>44378</v>
      </c>
      <c r="B95" s="20">
        <v>25286.061584470001</v>
      </c>
      <c r="C95" s="24">
        <f t="shared" si="2"/>
        <v>0.30806580048209475</v>
      </c>
      <c r="D95" s="20">
        <v>576.06591860000105</v>
      </c>
      <c r="E95" s="20">
        <v>2.3313072425815</v>
      </c>
      <c r="F95" s="20">
        <v>54510.247137769999</v>
      </c>
      <c r="G95" s="20">
        <v>123.388553090378</v>
      </c>
      <c r="H95" s="20">
        <v>24536.53</v>
      </c>
      <c r="I95" s="20">
        <v>25926.66</v>
      </c>
      <c r="J95" s="20">
        <v>23898.05</v>
      </c>
    </row>
    <row r="96" spans="1:10" x14ac:dyDescent="0.3">
      <c r="A96" s="16">
        <v>44470</v>
      </c>
      <c r="B96" s="17">
        <v>25615.309166499999</v>
      </c>
      <c r="C96" s="24">
        <f t="shared" si="2"/>
        <v>0.34382456845147907</v>
      </c>
      <c r="D96" s="17">
        <v>329.247582029998</v>
      </c>
      <c r="E96" s="17">
        <v>1.3020911972792599</v>
      </c>
      <c r="F96" s="17">
        <v>55574.847713160001</v>
      </c>
      <c r="G96" s="17">
        <v>127.751394842948</v>
      </c>
      <c r="H96" s="17">
        <v>25342.25</v>
      </c>
      <c r="I96" s="17">
        <v>26687.97</v>
      </c>
      <c r="J96" s="17">
        <v>23817.66</v>
      </c>
    </row>
    <row r="97" spans="1:10" x14ac:dyDescent="0.3">
      <c r="A97" s="19">
        <v>44560</v>
      </c>
      <c r="B97" s="20">
        <v>27346.834114159999</v>
      </c>
      <c r="C97" s="24">
        <f t="shared" si="2"/>
        <v>0.23001658218925894</v>
      </c>
      <c r="D97" s="20">
        <v>1731.52494766</v>
      </c>
      <c r="E97" s="20">
        <v>6.75972691332771</v>
      </c>
      <c r="F97" s="20">
        <v>60027.958148569996</v>
      </c>
      <c r="G97" s="20">
        <v>146.00069564695499</v>
      </c>
      <c r="H97" s="20">
        <v>25727.279999999999</v>
      </c>
      <c r="I97" s="20">
        <v>27968.91</v>
      </c>
      <c r="J97" s="20">
        <v>25330.09</v>
      </c>
    </row>
    <row r="98" spans="1:10" x14ac:dyDescent="0.3">
      <c r="A98" s="16">
        <v>44652</v>
      </c>
      <c r="B98" s="17">
        <v>25163.296725790002</v>
      </c>
      <c r="C98" s="24">
        <f t="shared" si="2"/>
        <v>1.8344845788302262E-2</v>
      </c>
      <c r="D98" s="17">
        <v>-2183.5373883699899</v>
      </c>
      <c r="E98" s="17">
        <v>-7.9846075756146702</v>
      </c>
      <c r="F98" s="17">
        <v>55460.03024624</v>
      </c>
      <c r="G98" s="17">
        <v>127.28086115155</v>
      </c>
      <c r="H98" s="17">
        <v>27354.29</v>
      </c>
      <c r="I98" s="17">
        <v>28212.68</v>
      </c>
      <c r="J98" s="17">
        <v>21060.07</v>
      </c>
    </row>
    <row r="99" spans="1:10" x14ac:dyDescent="0.3">
      <c r="A99" s="19">
        <v>44743</v>
      </c>
      <c r="B99" s="20">
        <v>21354.651318910001</v>
      </c>
      <c r="C99" s="24">
        <f t="shared" si="2"/>
        <v>-0.15547736654942593</v>
      </c>
      <c r="D99" s="20">
        <v>-3808.6454068799999</v>
      </c>
      <c r="E99" s="20">
        <v>-15.1357171056863</v>
      </c>
      <c r="F99" s="20">
        <v>48398.735022809997</v>
      </c>
      <c r="G99" s="20">
        <v>98.342953038250798</v>
      </c>
      <c r="H99" s="20">
        <v>25026.44</v>
      </c>
      <c r="I99" s="20">
        <v>25280.45</v>
      </c>
      <c r="J99" s="20">
        <v>21023.94</v>
      </c>
    </row>
    <row r="100" spans="1:10" x14ac:dyDescent="0.3">
      <c r="A100" s="16">
        <v>44834</v>
      </c>
      <c r="B100" s="17">
        <v>20648.851238700001</v>
      </c>
      <c r="C100" s="24">
        <f t="shared" si="2"/>
        <v>-0.19388631601195702</v>
      </c>
      <c r="D100" s="17">
        <v>-705.80008020999901</v>
      </c>
      <c r="E100" s="17">
        <v>-3.3051351186661502</v>
      </c>
      <c r="F100" s="17">
        <v>47079.668557570003</v>
      </c>
      <c r="G100" s="17">
        <v>92.937284112273204</v>
      </c>
      <c r="H100" s="17">
        <v>21502.87</v>
      </c>
      <c r="I100" s="17">
        <v>23153.82</v>
      </c>
      <c r="J100" s="17">
        <v>20183.45</v>
      </c>
    </row>
    <row r="101" spans="1:10" x14ac:dyDescent="0.3">
      <c r="A101" s="19">
        <v>44925</v>
      </c>
      <c r="B101" s="20">
        <v>23706.95988744</v>
      </c>
      <c r="C101" s="24">
        <f t="shared" si="2"/>
        <v>-0.1331003878374096</v>
      </c>
      <c r="D101" s="20">
        <v>3058.1086487399898</v>
      </c>
      <c r="E101" s="20">
        <v>14.8100667363446</v>
      </c>
      <c r="F101" s="20">
        <v>54426.068600220002</v>
      </c>
      <c r="G101" s="20">
        <v>123.043580856863</v>
      </c>
      <c r="H101" s="20">
        <v>20482.099999999999</v>
      </c>
      <c r="I101" s="20">
        <v>24899.200000000001</v>
      </c>
      <c r="J101" s="20">
        <v>20191.689999999999</v>
      </c>
    </row>
    <row r="102" spans="1:10" x14ac:dyDescent="0.3">
      <c r="A102" s="16">
        <v>45016</v>
      </c>
      <c r="B102" s="17">
        <v>27113.95312138</v>
      </c>
      <c r="C102" s="24">
        <f t="shared" ref="C102:C113" si="3">(B102-B98)/B98</f>
        <v>7.7519905950588733E-2</v>
      </c>
      <c r="D102" s="17">
        <v>3406.9932339400002</v>
      </c>
      <c r="E102" s="17">
        <v>14.3712785195415</v>
      </c>
      <c r="F102" s="17">
        <v>62623.592566300002</v>
      </c>
      <c r="G102" s="17">
        <v>156.63787025859801</v>
      </c>
      <c r="H102" s="17">
        <v>23688.99</v>
      </c>
      <c r="I102" s="17">
        <v>28049.84</v>
      </c>
      <c r="J102" s="17">
        <v>23861.97</v>
      </c>
    </row>
    <row r="103" spans="1:10" x14ac:dyDescent="0.3">
      <c r="A103" s="19">
        <v>45107</v>
      </c>
      <c r="B103" s="20">
        <v>28230.82992833</v>
      </c>
      <c r="C103" s="24">
        <f t="shared" si="3"/>
        <v>0.32199910486625444</v>
      </c>
      <c r="D103" s="20">
        <v>1116.8768069499999</v>
      </c>
      <c r="E103" s="20">
        <v>4.1191957585458603</v>
      </c>
      <c r="F103" s="20">
        <v>67113.370735920005</v>
      </c>
      <c r="G103" s="20">
        <v>175.037439177691</v>
      </c>
      <c r="H103" s="20">
        <v>26459.84</v>
      </c>
      <c r="I103" s="20">
        <v>28312.240000000002</v>
      </c>
      <c r="J103" s="20">
        <v>26000.47</v>
      </c>
    </row>
    <row r="104" spans="1:10" x14ac:dyDescent="0.3">
      <c r="A104" s="16">
        <v>45198</v>
      </c>
      <c r="B104" s="17">
        <v>28243.255518459999</v>
      </c>
      <c r="C104" s="24">
        <f t="shared" si="3"/>
        <v>0.36778822182255799</v>
      </c>
      <c r="D104" s="17">
        <v>12.425590129998399</v>
      </c>
      <c r="E104" s="17">
        <v>4.4014257326274703E-2</v>
      </c>
      <c r="F104" s="17">
        <v>67485.825147490003</v>
      </c>
      <c r="G104" s="17">
        <v>176.56379534853099</v>
      </c>
      <c r="H104" s="17">
        <v>28271.93</v>
      </c>
      <c r="I104" s="17">
        <v>29757.68</v>
      </c>
      <c r="J104" s="17">
        <v>27381.32</v>
      </c>
    </row>
    <row r="105" spans="1:10" x14ac:dyDescent="0.3">
      <c r="A105" s="19">
        <v>45289</v>
      </c>
      <c r="B105" s="20">
        <v>30351.616097239999</v>
      </c>
      <c r="C105" s="24">
        <f t="shared" si="3"/>
        <v>0.28028293131420673</v>
      </c>
      <c r="D105" s="20">
        <v>2108.3605787800002</v>
      </c>
      <c r="E105" s="20">
        <v>7.4650055033562204</v>
      </c>
      <c r="F105" s="20">
        <v>73143.33577767</v>
      </c>
      <c r="G105" s="20">
        <v>199.748851005592</v>
      </c>
      <c r="H105" s="20">
        <v>28015.94</v>
      </c>
      <c r="I105" s="20">
        <v>30652.9</v>
      </c>
      <c r="J105" s="20">
        <v>27078.49</v>
      </c>
    </row>
    <row r="106" spans="1:10" x14ac:dyDescent="0.3">
      <c r="A106" s="16">
        <v>45379</v>
      </c>
      <c r="B106" s="17">
        <v>34750.349582080002</v>
      </c>
      <c r="C106" s="24">
        <f t="shared" si="3"/>
        <v>0.28164083733989054</v>
      </c>
      <c r="D106" s="17">
        <v>4398.7334848399996</v>
      </c>
      <c r="E106" s="17">
        <v>14.492584087606399</v>
      </c>
      <c r="F106" s="17">
        <v>84199.594240680002</v>
      </c>
      <c r="G106" s="17">
        <v>245.058525981065</v>
      </c>
      <c r="H106" s="17">
        <v>30519.55</v>
      </c>
      <c r="I106" s="17">
        <v>34857.589999999997</v>
      </c>
      <c r="J106" s="17">
        <v>29925.99</v>
      </c>
    </row>
    <row r="107" spans="1:10" x14ac:dyDescent="0.3">
      <c r="A107" s="19">
        <v>45474</v>
      </c>
      <c r="B107" s="20">
        <v>33716.543400559996</v>
      </c>
      <c r="C107" s="24">
        <f t="shared" si="3"/>
        <v>0.19431640820183654</v>
      </c>
      <c r="D107" s="20">
        <v>-1033.8061815200001</v>
      </c>
      <c r="E107" s="20">
        <v>-2.97495188955773</v>
      </c>
      <c r="F107" s="20">
        <v>84378.124578610004</v>
      </c>
      <c r="G107" s="20">
        <v>245.79016151689601</v>
      </c>
      <c r="H107" s="20">
        <v>34829.39</v>
      </c>
      <c r="I107" s="20">
        <v>35474.31</v>
      </c>
      <c r="J107" s="20">
        <v>32474.13</v>
      </c>
    </row>
    <row r="108" spans="1:10" x14ac:dyDescent="0.3">
      <c r="A108" s="16">
        <v>45566</v>
      </c>
      <c r="B108" s="17">
        <v>33771.080402369997</v>
      </c>
      <c r="C108" s="24">
        <f t="shared" si="3"/>
        <v>0.19572194431682888</v>
      </c>
      <c r="D108" s="17">
        <v>54.537001810000199</v>
      </c>
      <c r="E108" s="17">
        <v>0.16175146177379501</v>
      </c>
      <c r="F108" s="17">
        <v>84898.755958289999</v>
      </c>
      <c r="G108" s="17">
        <v>247.92376201784799</v>
      </c>
      <c r="H108" s="17">
        <v>33742.53</v>
      </c>
      <c r="I108" s="17">
        <v>34863.879999999997</v>
      </c>
      <c r="J108" s="17">
        <v>30652.98</v>
      </c>
    </row>
    <row r="109" spans="1:10" x14ac:dyDescent="0.3">
      <c r="A109" s="19">
        <v>45656</v>
      </c>
      <c r="B109" s="20">
        <v>34186.184663150001</v>
      </c>
      <c r="C109" s="24">
        <f t="shared" si="3"/>
        <v>0.126338200694977</v>
      </c>
      <c r="D109" s="20">
        <v>415.10426078000398</v>
      </c>
      <c r="E109" s="20">
        <v>1.2291708048252701</v>
      </c>
      <c r="F109" s="20">
        <v>87013.977635970004</v>
      </c>
      <c r="G109" s="20">
        <v>256.59215621624702</v>
      </c>
      <c r="H109" s="20">
        <v>33764.25</v>
      </c>
      <c r="I109" s="20">
        <v>35277.61</v>
      </c>
      <c r="J109" s="20">
        <v>32709.22</v>
      </c>
    </row>
    <row r="110" spans="1:10" x14ac:dyDescent="0.3">
      <c r="A110" s="16">
        <v>45748</v>
      </c>
      <c r="B110" s="17">
        <v>38557.381464290003</v>
      </c>
      <c r="C110" s="24">
        <f t="shared" si="3"/>
        <v>0.10955377220645875</v>
      </c>
      <c r="D110" s="17">
        <v>4371.1968011400004</v>
      </c>
      <c r="E110" s="17">
        <v>12.7864423720024</v>
      </c>
      <c r="F110" s="17">
        <v>98593.960479820002</v>
      </c>
      <c r="G110" s="17">
        <v>304.04810712692699</v>
      </c>
      <c r="H110" s="17">
        <v>34372.269999999997</v>
      </c>
      <c r="I110" s="17">
        <v>39825.910000000003</v>
      </c>
      <c r="J110" s="17">
        <v>33780.239999999998</v>
      </c>
    </row>
    <row r="111" spans="1:10" x14ac:dyDescent="0.3">
      <c r="A111" s="19">
        <v>45839</v>
      </c>
      <c r="B111" s="20">
        <v>39561.29741367</v>
      </c>
      <c r="C111" s="24">
        <f t="shared" si="3"/>
        <v>0.17334973943423063</v>
      </c>
      <c r="D111" s="20">
        <v>1003.91594937999</v>
      </c>
      <c r="E111" s="20">
        <v>2.6036932780556499</v>
      </c>
      <c r="F111" s="20">
        <v>104154.00923331</v>
      </c>
      <c r="G111" s="20">
        <v>326.83375407171002</v>
      </c>
      <c r="H111" s="20">
        <v>38700.79</v>
      </c>
      <c r="I111" s="20">
        <v>40708.6</v>
      </c>
      <c r="J111" s="20">
        <v>31945.73</v>
      </c>
    </row>
    <row r="112" spans="1:10" x14ac:dyDescent="0.3">
      <c r="A112" s="16">
        <v>45931</v>
      </c>
      <c r="B112" s="17">
        <v>43079.580492790003</v>
      </c>
      <c r="C112" s="24">
        <f t="shared" si="3"/>
        <v>0.27563524706679954</v>
      </c>
      <c r="D112" s="17">
        <v>3518.2830791199999</v>
      </c>
      <c r="E112" s="17">
        <v>8.8932449366645194</v>
      </c>
      <c r="F112" s="17">
        <v>113910.12820756</v>
      </c>
      <c r="G112" s="17">
        <v>366.815324801467</v>
      </c>
      <c r="H112" s="17">
        <v>39860.050000000003</v>
      </c>
      <c r="I112" s="17">
        <v>43564.12</v>
      </c>
      <c r="J112" s="17">
        <v>39520.559999999998</v>
      </c>
    </row>
    <row r="113" spans="2:3" x14ac:dyDescent="0.3">
      <c r="B113" s="26">
        <v>44944.54</v>
      </c>
      <c r="C113" s="24">
        <f t="shared" si="3"/>
        <v>0.3146989183746689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5"/>
  <sheetViews>
    <sheetView workbookViewId="0">
      <selection activeCell="D8" sqref="D8"/>
    </sheetView>
  </sheetViews>
  <sheetFormatPr defaultRowHeight="14.4" x14ac:dyDescent="0.3"/>
  <sheetData>
    <row r="1" spans="1:3" x14ac:dyDescent="0.3">
      <c r="B1" t="s">
        <v>140</v>
      </c>
    </row>
    <row r="2" spans="1:3" x14ac:dyDescent="0.3">
      <c r="A2" s="5" t="s">
        <v>141</v>
      </c>
      <c r="B2" s="1">
        <v>105.5</v>
      </c>
      <c r="C2" s="7"/>
    </row>
    <row r="3" spans="1:3" x14ac:dyDescent="0.3">
      <c r="A3" s="5" t="s">
        <v>142</v>
      </c>
      <c r="B3" s="2">
        <v>105.7</v>
      </c>
      <c r="C3" s="6"/>
    </row>
    <row r="4" spans="1:3" x14ac:dyDescent="0.3">
      <c r="A4" s="5" t="s">
        <v>143</v>
      </c>
      <c r="B4" s="1">
        <v>105.5</v>
      </c>
      <c r="C4" s="7"/>
    </row>
    <row r="5" spans="1:3" x14ac:dyDescent="0.3">
      <c r="A5" s="5" t="s">
        <v>144</v>
      </c>
      <c r="B5" s="2">
        <v>104.6</v>
      </c>
      <c r="C5" s="6"/>
    </row>
    <row r="6" spans="1:3" x14ac:dyDescent="0.3">
      <c r="A6" s="5" t="s">
        <v>145</v>
      </c>
      <c r="B6" s="1">
        <v>104.4</v>
      </c>
      <c r="C6" s="25">
        <f t="shared" ref="C6:C37" si="0">(B6-B2)/B2</f>
        <v>-1.0426540284360136E-2</v>
      </c>
    </row>
    <row r="7" spans="1:3" x14ac:dyDescent="0.3">
      <c r="A7" s="5" t="s">
        <v>146</v>
      </c>
      <c r="B7" s="2">
        <v>103.3</v>
      </c>
      <c r="C7" s="25">
        <f t="shared" si="0"/>
        <v>-2.2705771050141963E-2</v>
      </c>
    </row>
    <row r="8" spans="1:3" x14ac:dyDescent="0.3">
      <c r="A8" s="5" t="s">
        <v>147</v>
      </c>
      <c r="B8" s="1">
        <v>104.8</v>
      </c>
      <c r="C8" s="25">
        <f t="shared" si="0"/>
        <v>-6.6350710900474202E-3</v>
      </c>
    </row>
    <row r="9" spans="1:3" x14ac:dyDescent="0.3">
      <c r="A9" s="5" t="s">
        <v>148</v>
      </c>
      <c r="B9" s="2">
        <v>104.9</v>
      </c>
      <c r="C9" s="25">
        <f t="shared" si="0"/>
        <v>2.8680688336521166E-3</v>
      </c>
    </row>
    <row r="10" spans="1:3" x14ac:dyDescent="0.3">
      <c r="A10" s="5" t="s">
        <v>149</v>
      </c>
      <c r="B10" s="1">
        <v>104.9</v>
      </c>
      <c r="C10" s="25">
        <f t="shared" si="0"/>
        <v>4.7892720306513406E-3</v>
      </c>
    </row>
    <row r="11" spans="1:3" x14ac:dyDescent="0.3">
      <c r="A11" s="5" t="s">
        <v>150</v>
      </c>
      <c r="B11" s="2">
        <v>104.8</v>
      </c>
      <c r="C11" s="25">
        <f t="shared" si="0"/>
        <v>1.452081316553727E-2</v>
      </c>
    </row>
    <row r="12" spans="1:3" x14ac:dyDescent="0.3">
      <c r="A12" s="5" t="s">
        <v>151</v>
      </c>
      <c r="B12" s="1">
        <v>101.9</v>
      </c>
      <c r="C12" s="25">
        <f t="shared" si="0"/>
        <v>-2.7671755725190757E-2</v>
      </c>
    </row>
    <row r="13" spans="1:3" x14ac:dyDescent="0.3">
      <c r="A13" s="5" t="s">
        <v>152</v>
      </c>
      <c r="B13" s="2">
        <v>101.2</v>
      </c>
      <c r="C13" s="25">
        <f t="shared" si="0"/>
        <v>-3.5271687321258363E-2</v>
      </c>
    </row>
    <row r="14" spans="1:3" x14ac:dyDescent="0.3">
      <c r="A14" s="5" t="s">
        <v>153</v>
      </c>
      <c r="B14" s="1">
        <v>101.7</v>
      </c>
      <c r="C14" s="25">
        <f t="shared" si="0"/>
        <v>-3.050524308865589E-2</v>
      </c>
    </row>
    <row r="15" spans="1:3" x14ac:dyDescent="0.3">
      <c r="A15" s="5" t="s">
        <v>154</v>
      </c>
      <c r="B15" s="2">
        <v>100.7</v>
      </c>
      <c r="C15" s="25">
        <f t="shared" si="0"/>
        <v>-3.91221374045801E-2</v>
      </c>
    </row>
    <row r="16" spans="1:3" x14ac:dyDescent="0.3">
      <c r="A16" s="5" t="s">
        <v>155</v>
      </c>
      <c r="B16" s="1">
        <v>99.8</v>
      </c>
      <c r="C16" s="25">
        <f t="shared" si="0"/>
        <v>-2.0608439646712547E-2</v>
      </c>
    </row>
    <row r="17" spans="1:3" x14ac:dyDescent="0.3">
      <c r="A17" s="5" t="s">
        <v>156</v>
      </c>
      <c r="B17" s="2">
        <v>100.6</v>
      </c>
      <c r="C17" s="25">
        <f t="shared" si="0"/>
        <v>-5.9288537549407952E-3</v>
      </c>
    </row>
    <row r="18" spans="1:3" x14ac:dyDescent="0.3">
      <c r="A18" s="5" t="s">
        <v>157</v>
      </c>
      <c r="B18" s="1">
        <v>102.6</v>
      </c>
      <c r="C18" s="25">
        <f t="shared" si="0"/>
        <v>8.8495575221238104E-3</v>
      </c>
    </row>
    <row r="19" spans="1:3" x14ac:dyDescent="0.3">
      <c r="A19" s="5" t="s">
        <v>158</v>
      </c>
      <c r="B19" s="2">
        <v>106.5</v>
      </c>
      <c r="C19" s="25">
        <f t="shared" si="0"/>
        <v>5.7596822244289941E-2</v>
      </c>
    </row>
    <row r="20" spans="1:3" x14ac:dyDescent="0.3">
      <c r="A20" s="5" t="s">
        <v>159</v>
      </c>
      <c r="B20" s="4">
        <v>108</v>
      </c>
      <c r="C20" s="25">
        <f t="shared" si="0"/>
        <v>8.2164328657314656E-2</v>
      </c>
    </row>
    <row r="21" spans="1:3" x14ac:dyDescent="0.3">
      <c r="A21" s="5" t="s">
        <v>160</v>
      </c>
      <c r="B21" s="2">
        <v>110.2</v>
      </c>
      <c r="C21" s="25">
        <f t="shared" si="0"/>
        <v>9.5427435387674051E-2</v>
      </c>
    </row>
    <row r="22" spans="1:3" x14ac:dyDescent="0.3">
      <c r="A22" s="5" t="s">
        <v>161</v>
      </c>
      <c r="B22" s="4">
        <v>112</v>
      </c>
      <c r="C22" s="25">
        <f t="shared" si="0"/>
        <v>9.1617933723196945E-2</v>
      </c>
    </row>
    <row r="23" spans="1:3" x14ac:dyDescent="0.3">
      <c r="A23" s="5" t="s">
        <v>162</v>
      </c>
      <c r="B23" s="2">
        <v>112.3</v>
      </c>
      <c r="C23" s="25">
        <f t="shared" si="0"/>
        <v>5.4460093896713586E-2</v>
      </c>
    </row>
    <row r="24" spans="1:3" x14ac:dyDescent="0.3">
      <c r="A24" s="5" t="s">
        <v>163</v>
      </c>
      <c r="B24" s="1">
        <v>113.4</v>
      </c>
      <c r="C24" s="25">
        <f t="shared" si="0"/>
        <v>5.0000000000000051E-2</v>
      </c>
    </row>
    <row r="25" spans="1:3" x14ac:dyDescent="0.3">
      <c r="A25" s="5" t="s">
        <v>164</v>
      </c>
      <c r="B25" s="3">
        <v>115</v>
      </c>
      <c r="C25" s="25">
        <f t="shared" si="0"/>
        <v>4.3557168784029009E-2</v>
      </c>
    </row>
    <row r="26" spans="1:3" x14ac:dyDescent="0.3">
      <c r="A26" s="5" t="s">
        <v>4</v>
      </c>
      <c r="B26" s="1">
        <v>113.3</v>
      </c>
      <c r="C26" s="25">
        <f t="shared" si="0"/>
        <v>1.1607142857142832E-2</v>
      </c>
    </row>
    <row r="27" spans="1:3" x14ac:dyDescent="0.3">
      <c r="A27" s="5" t="s">
        <v>5</v>
      </c>
      <c r="B27" s="3">
        <v>111</v>
      </c>
      <c r="C27" s="25">
        <f t="shared" si="0"/>
        <v>-1.1576135351736395E-2</v>
      </c>
    </row>
    <row r="28" spans="1:3" x14ac:dyDescent="0.3">
      <c r="A28" s="5" t="s">
        <v>6</v>
      </c>
      <c r="B28" s="1">
        <v>110.8</v>
      </c>
      <c r="C28" s="25">
        <f t="shared" si="0"/>
        <v>-2.2927689594356336E-2</v>
      </c>
    </row>
    <row r="29" spans="1:3" x14ac:dyDescent="0.3">
      <c r="A29" s="5" t="s">
        <v>7</v>
      </c>
      <c r="B29" s="2">
        <v>110.1</v>
      </c>
      <c r="C29" s="25">
        <f t="shared" si="0"/>
        <v>-4.2608695652173963E-2</v>
      </c>
    </row>
    <row r="30" spans="1:3" x14ac:dyDescent="0.3">
      <c r="A30" s="5" t="s">
        <v>8</v>
      </c>
      <c r="B30" s="1">
        <v>111.9</v>
      </c>
      <c r="C30" s="25">
        <f t="shared" si="0"/>
        <v>-1.2356575463371504E-2</v>
      </c>
    </row>
    <row r="31" spans="1:3" x14ac:dyDescent="0.3">
      <c r="A31" s="5" t="s">
        <v>9</v>
      </c>
      <c r="B31" s="2">
        <v>115.1</v>
      </c>
      <c r="C31" s="25">
        <f t="shared" si="0"/>
        <v>3.6936936936936886E-2</v>
      </c>
    </row>
    <row r="32" spans="1:3" x14ac:dyDescent="0.3">
      <c r="A32" s="5" t="s">
        <v>10</v>
      </c>
      <c r="B32" s="1">
        <v>116.9</v>
      </c>
      <c r="C32" s="25">
        <f t="shared" si="0"/>
        <v>5.5054151624548818E-2</v>
      </c>
    </row>
    <row r="33" spans="1:3" x14ac:dyDescent="0.3">
      <c r="A33" s="5" t="s">
        <v>11</v>
      </c>
      <c r="B33" s="2">
        <v>118.4</v>
      </c>
      <c r="C33" s="25">
        <f t="shared" si="0"/>
        <v>7.5386012715713102E-2</v>
      </c>
    </row>
    <row r="34" spans="1:3" x14ac:dyDescent="0.3">
      <c r="A34" s="5" t="s">
        <v>12</v>
      </c>
      <c r="B34" s="1">
        <v>117.5</v>
      </c>
      <c r="C34" s="25">
        <f t="shared" si="0"/>
        <v>5.0044682752457499E-2</v>
      </c>
    </row>
    <row r="35" spans="1:3" x14ac:dyDescent="0.3">
      <c r="A35" s="5" t="s">
        <v>13</v>
      </c>
      <c r="B35" s="2">
        <v>117.9</v>
      </c>
      <c r="C35" s="25">
        <f t="shared" si="0"/>
        <v>2.4326672458731637E-2</v>
      </c>
    </row>
    <row r="36" spans="1:3" x14ac:dyDescent="0.3">
      <c r="A36" s="5" t="s">
        <v>14</v>
      </c>
      <c r="B36" s="1">
        <v>116.9</v>
      </c>
      <c r="C36" s="25">
        <f t="shared" si="0"/>
        <v>0</v>
      </c>
    </row>
    <row r="37" spans="1:3" x14ac:dyDescent="0.3">
      <c r="A37" s="5" t="s">
        <v>15</v>
      </c>
      <c r="B37" s="2">
        <v>115.7</v>
      </c>
      <c r="C37" s="25">
        <f t="shared" si="0"/>
        <v>-2.2804054054054078E-2</v>
      </c>
    </row>
    <row r="38" spans="1:3" x14ac:dyDescent="0.3">
      <c r="A38" s="5" t="s">
        <v>16</v>
      </c>
      <c r="B38" s="1">
        <v>115.6</v>
      </c>
      <c r="C38" s="25">
        <f t="shared" ref="C38:C69" si="1">(B38-B34)/B34</f>
        <v>-1.6170212765957495E-2</v>
      </c>
    </row>
    <row r="39" spans="1:3" x14ac:dyDescent="0.3">
      <c r="A39" s="5" t="s">
        <v>17</v>
      </c>
      <c r="B39" s="2">
        <v>114.9</v>
      </c>
      <c r="C39" s="25">
        <f t="shared" si="1"/>
        <v>-2.5445292620865138E-2</v>
      </c>
    </row>
    <row r="40" spans="1:3" x14ac:dyDescent="0.3">
      <c r="A40" s="5" t="s">
        <v>18</v>
      </c>
      <c r="B40" s="1">
        <v>117.4</v>
      </c>
      <c r="C40" s="25">
        <f t="shared" si="1"/>
        <v>4.2771599657827203E-3</v>
      </c>
    </row>
    <row r="41" spans="1:3" x14ac:dyDescent="0.3">
      <c r="A41" s="5" t="s">
        <v>19</v>
      </c>
      <c r="B41" s="2">
        <v>119.2</v>
      </c>
      <c r="C41" s="25">
        <f t="shared" si="1"/>
        <v>3.0250648228176316E-2</v>
      </c>
    </row>
    <row r="42" spans="1:3" x14ac:dyDescent="0.3">
      <c r="A42" s="5" t="s">
        <v>20</v>
      </c>
      <c r="B42" s="1">
        <v>119.5</v>
      </c>
      <c r="C42" s="25">
        <f t="shared" si="1"/>
        <v>3.3737024221453339E-2</v>
      </c>
    </row>
    <row r="43" spans="1:3" x14ac:dyDescent="0.3">
      <c r="A43" s="5" t="s">
        <v>21</v>
      </c>
      <c r="B43" s="2">
        <v>121.7</v>
      </c>
      <c r="C43" s="25">
        <f t="shared" si="1"/>
        <v>5.9181897302001713E-2</v>
      </c>
    </row>
    <row r="44" spans="1:3" x14ac:dyDescent="0.3">
      <c r="A44" s="5" t="s">
        <v>22</v>
      </c>
      <c r="B44" s="1">
        <v>121.6</v>
      </c>
      <c r="C44" s="25">
        <f t="shared" si="1"/>
        <v>3.5775127768313361E-2</v>
      </c>
    </row>
    <row r="45" spans="1:3" x14ac:dyDescent="0.3">
      <c r="A45" s="5" t="s">
        <v>23</v>
      </c>
      <c r="B45" s="3">
        <v>124</v>
      </c>
      <c r="C45" s="25">
        <f t="shared" si="1"/>
        <v>4.0268456375838903E-2</v>
      </c>
    </row>
    <row r="46" spans="1:3" x14ac:dyDescent="0.3">
      <c r="A46" s="5" t="s">
        <v>24</v>
      </c>
      <c r="B46" s="1">
        <v>121.8</v>
      </c>
      <c r="C46" s="25">
        <f t="shared" si="1"/>
        <v>1.9246861924686168E-2</v>
      </c>
    </row>
    <row r="47" spans="1:3" x14ac:dyDescent="0.3">
      <c r="A47" s="5" t="s">
        <v>25</v>
      </c>
      <c r="B47" s="2">
        <v>120.3</v>
      </c>
      <c r="C47" s="25">
        <f t="shared" si="1"/>
        <v>-1.1503697617091255E-2</v>
      </c>
    </row>
    <row r="48" spans="1:3" x14ac:dyDescent="0.3">
      <c r="A48" s="5" t="s">
        <v>26</v>
      </c>
      <c r="B48" s="1">
        <v>118.9</v>
      </c>
      <c r="C48" s="25">
        <f t="shared" si="1"/>
        <v>-2.2203947368420959E-2</v>
      </c>
    </row>
    <row r="49" spans="1:3" x14ac:dyDescent="0.3">
      <c r="A49" s="5" t="s">
        <v>27</v>
      </c>
      <c r="B49" s="3">
        <v>117</v>
      </c>
      <c r="C49" s="25">
        <f t="shared" si="1"/>
        <v>-5.6451612903225805E-2</v>
      </c>
    </row>
    <row r="50" spans="1:3" x14ac:dyDescent="0.3">
      <c r="A50" s="5" t="s">
        <v>28</v>
      </c>
      <c r="B50" s="1">
        <v>117.8</v>
      </c>
      <c r="C50" s="25">
        <f t="shared" si="1"/>
        <v>-3.2840722495894911E-2</v>
      </c>
    </row>
    <row r="51" spans="1:3" x14ac:dyDescent="0.3">
      <c r="A51" s="5" t="s">
        <v>29</v>
      </c>
      <c r="B51" s="2">
        <v>117.6</v>
      </c>
      <c r="C51" s="25">
        <f t="shared" si="1"/>
        <v>-2.2443890274314239E-2</v>
      </c>
    </row>
    <row r="52" spans="1:3" x14ac:dyDescent="0.3">
      <c r="A52" s="5" t="s">
        <v>30</v>
      </c>
      <c r="B52" s="1">
        <v>117.3</v>
      </c>
      <c r="C52" s="25">
        <f t="shared" si="1"/>
        <v>-1.3456686291000912E-2</v>
      </c>
    </row>
    <row r="53" spans="1:3" x14ac:dyDescent="0.3">
      <c r="A53" s="5" t="s">
        <v>31</v>
      </c>
      <c r="B53" s="3">
        <v>118</v>
      </c>
      <c r="C53" s="25">
        <f t="shared" si="1"/>
        <v>8.5470085470085479E-3</v>
      </c>
    </row>
    <row r="54" spans="1:3" x14ac:dyDescent="0.3">
      <c r="A54" s="5" t="s">
        <v>32</v>
      </c>
      <c r="B54" s="1">
        <v>117.6</v>
      </c>
      <c r="C54" s="25">
        <f t="shared" si="1"/>
        <v>-1.6977928692699733E-3</v>
      </c>
    </row>
    <row r="55" spans="1:3" x14ac:dyDescent="0.3">
      <c r="A55" s="5" t="s">
        <v>33</v>
      </c>
      <c r="B55" s="2">
        <v>116.3</v>
      </c>
      <c r="C55" s="25">
        <f t="shared" si="1"/>
        <v>-1.1054421768707459E-2</v>
      </c>
    </row>
    <row r="56" spans="1:3" x14ac:dyDescent="0.3">
      <c r="A56" s="5" t="s">
        <v>34</v>
      </c>
      <c r="B56" s="1">
        <v>115.9</v>
      </c>
      <c r="C56" s="25">
        <f t="shared" si="1"/>
        <v>-1.1935208866155086E-2</v>
      </c>
    </row>
    <row r="57" spans="1:3" x14ac:dyDescent="0.3">
      <c r="A57" s="5" t="s">
        <v>35</v>
      </c>
      <c r="B57" s="2">
        <v>117.8</v>
      </c>
      <c r="C57" s="25">
        <f t="shared" si="1"/>
        <v>-1.6949152542373122E-3</v>
      </c>
    </row>
    <row r="58" spans="1:3" x14ac:dyDescent="0.3">
      <c r="A58" s="5" t="s">
        <v>36</v>
      </c>
      <c r="B58" s="1">
        <v>117.4</v>
      </c>
      <c r="C58" s="25">
        <f t="shared" si="1"/>
        <v>-1.700680272108747E-3</v>
      </c>
    </row>
    <row r="59" spans="1:3" x14ac:dyDescent="0.3">
      <c r="A59" s="5" t="s">
        <v>37</v>
      </c>
      <c r="B59" s="2">
        <v>117.6</v>
      </c>
      <c r="C59" s="25">
        <f t="shared" si="1"/>
        <v>1.1177987962166786E-2</v>
      </c>
    </row>
    <row r="60" spans="1:3" x14ac:dyDescent="0.3">
      <c r="A60" s="5" t="s">
        <v>38</v>
      </c>
      <c r="B60" s="1">
        <v>116.1</v>
      </c>
      <c r="C60" s="25">
        <f t="shared" si="1"/>
        <v>1.7256255392578829E-3</v>
      </c>
    </row>
    <row r="61" spans="1:3" x14ac:dyDescent="0.3">
      <c r="A61" s="5" t="s">
        <v>39</v>
      </c>
      <c r="B61" s="2">
        <v>115.9</v>
      </c>
      <c r="C61" s="25">
        <f t="shared" si="1"/>
        <v>-1.6129032258064443E-2</v>
      </c>
    </row>
    <row r="62" spans="1:3" x14ac:dyDescent="0.3">
      <c r="A62" s="5" t="s">
        <v>40</v>
      </c>
      <c r="B62" s="4">
        <v>115</v>
      </c>
      <c r="C62" s="25">
        <f t="shared" si="1"/>
        <v>-2.0442930153322023E-2</v>
      </c>
    </row>
    <row r="63" spans="1:3" x14ac:dyDescent="0.3">
      <c r="A63" s="5" t="s">
        <v>41</v>
      </c>
      <c r="B63" s="3">
        <v>116</v>
      </c>
      <c r="C63" s="25">
        <f t="shared" si="1"/>
        <v>-1.3605442176870701E-2</v>
      </c>
    </row>
    <row r="64" spans="1:3" x14ac:dyDescent="0.3">
      <c r="A64" s="5" t="s">
        <v>42</v>
      </c>
      <c r="B64" s="1">
        <v>116.3</v>
      </c>
      <c r="C64" s="25">
        <f t="shared" si="1"/>
        <v>1.7226528854436076E-3</v>
      </c>
    </row>
    <row r="65" spans="1:3" x14ac:dyDescent="0.3">
      <c r="A65" s="5" t="s">
        <v>43</v>
      </c>
      <c r="B65" s="2">
        <v>116.7</v>
      </c>
      <c r="C65" s="25">
        <f t="shared" si="1"/>
        <v>6.9025021570318992E-3</v>
      </c>
    </row>
    <row r="66" spans="1:3" x14ac:dyDescent="0.3">
      <c r="A66" s="5" t="s">
        <v>44</v>
      </c>
      <c r="B66" s="1">
        <v>118.1</v>
      </c>
      <c r="C66" s="25">
        <f t="shared" si="1"/>
        <v>2.6956521739130386E-2</v>
      </c>
    </row>
    <row r="67" spans="1:3" x14ac:dyDescent="0.3">
      <c r="A67" s="5" t="s">
        <v>45</v>
      </c>
      <c r="B67" s="2">
        <v>120.2</v>
      </c>
      <c r="C67" s="25">
        <f t="shared" si="1"/>
        <v>3.6206896551724162E-2</v>
      </c>
    </row>
    <row r="68" spans="1:3" x14ac:dyDescent="0.3">
      <c r="A68" s="5" t="s">
        <v>46</v>
      </c>
      <c r="B68" s="1">
        <v>120.6</v>
      </c>
      <c r="C68" s="25">
        <f t="shared" si="1"/>
        <v>3.6973344797936347E-2</v>
      </c>
    </row>
    <row r="69" spans="1:3" x14ac:dyDescent="0.3">
      <c r="A69" s="5" t="s">
        <v>47</v>
      </c>
      <c r="B69" s="2">
        <v>121.9</v>
      </c>
      <c r="C69" s="25">
        <f t="shared" si="1"/>
        <v>4.4558697514995742E-2</v>
      </c>
    </row>
    <row r="70" spans="1:3" x14ac:dyDescent="0.3">
      <c r="A70" s="5" t="s">
        <v>48</v>
      </c>
      <c r="B70" s="1">
        <v>122.9</v>
      </c>
      <c r="C70" s="25">
        <f t="shared" ref="C70:C101" si="2">(B70-B66)/B66</f>
        <v>4.0643522438611447E-2</v>
      </c>
    </row>
    <row r="71" spans="1:3" x14ac:dyDescent="0.3">
      <c r="A71" s="5" t="s">
        <v>49</v>
      </c>
      <c r="B71" s="2">
        <v>122.8</v>
      </c>
      <c r="C71" s="25">
        <f t="shared" si="2"/>
        <v>2.1630615640598955E-2</v>
      </c>
    </row>
    <row r="72" spans="1:3" x14ac:dyDescent="0.3">
      <c r="A72" s="5" t="s">
        <v>50</v>
      </c>
      <c r="B72" s="1">
        <v>124.4</v>
      </c>
      <c r="C72" s="25">
        <f t="shared" si="2"/>
        <v>3.150912106135996E-2</v>
      </c>
    </row>
    <row r="73" spans="1:3" x14ac:dyDescent="0.3">
      <c r="A73" s="5" t="s">
        <v>51</v>
      </c>
      <c r="B73" s="2">
        <v>121.8</v>
      </c>
      <c r="C73" s="25">
        <f t="shared" si="2"/>
        <v>-8.2034454470884756E-4</v>
      </c>
    </row>
    <row r="74" spans="1:3" x14ac:dyDescent="0.3">
      <c r="A74" s="5" t="s">
        <v>52</v>
      </c>
      <c r="B74" s="1">
        <v>124.1</v>
      </c>
      <c r="C74" s="25">
        <f t="shared" si="2"/>
        <v>9.7640358014645118E-3</v>
      </c>
    </row>
    <row r="75" spans="1:3" x14ac:dyDescent="0.3">
      <c r="A75" s="5" t="s">
        <v>53</v>
      </c>
      <c r="B75" s="3">
        <v>123</v>
      </c>
      <c r="C75" s="25">
        <f t="shared" si="2"/>
        <v>1.6286644951140298E-3</v>
      </c>
    </row>
    <row r="76" spans="1:3" x14ac:dyDescent="0.3">
      <c r="A76" s="5" t="s">
        <v>54</v>
      </c>
      <c r="B76" s="1">
        <v>116.4</v>
      </c>
      <c r="C76" s="25">
        <f t="shared" si="2"/>
        <v>-6.4308681672025719E-2</v>
      </c>
    </row>
    <row r="77" spans="1:3" x14ac:dyDescent="0.3">
      <c r="A77" s="5" t="s">
        <v>55</v>
      </c>
      <c r="B77" s="2">
        <v>108.3</v>
      </c>
      <c r="C77" s="25">
        <f t="shared" si="2"/>
        <v>-0.11083743842364532</v>
      </c>
    </row>
    <row r="78" spans="1:3" x14ac:dyDescent="0.3">
      <c r="A78" s="5" t="s">
        <v>56</v>
      </c>
      <c r="B78" s="1">
        <v>96.3</v>
      </c>
      <c r="C78" s="25">
        <f t="shared" si="2"/>
        <v>-0.2240128928283642</v>
      </c>
    </row>
    <row r="79" spans="1:3" x14ac:dyDescent="0.3">
      <c r="A79" s="5" t="s">
        <v>57</v>
      </c>
      <c r="B79" s="2">
        <v>93.9</v>
      </c>
      <c r="C79" s="25">
        <f t="shared" si="2"/>
        <v>-0.2365853658536585</v>
      </c>
    </row>
    <row r="80" spans="1:3" x14ac:dyDescent="0.3">
      <c r="A80" s="5" t="s">
        <v>58</v>
      </c>
      <c r="B80" s="1">
        <v>95.6</v>
      </c>
      <c r="C80" s="25">
        <f t="shared" si="2"/>
        <v>-0.17869415807560146</v>
      </c>
    </row>
    <row r="81" spans="1:3" x14ac:dyDescent="0.3">
      <c r="A81" s="5" t="s">
        <v>59</v>
      </c>
      <c r="B81" s="2">
        <v>98.2</v>
      </c>
      <c r="C81" s="25">
        <f t="shared" si="2"/>
        <v>-9.3259464450600141E-2</v>
      </c>
    </row>
    <row r="82" spans="1:3" x14ac:dyDescent="0.3">
      <c r="A82" s="5" t="s">
        <v>60</v>
      </c>
      <c r="B82" s="1">
        <v>100.1</v>
      </c>
      <c r="C82" s="25">
        <f t="shared" si="2"/>
        <v>3.9460020768431955E-2</v>
      </c>
    </row>
    <row r="83" spans="1:3" x14ac:dyDescent="0.3">
      <c r="A83" s="5" t="s">
        <v>61</v>
      </c>
      <c r="B83" s="2">
        <v>102.1</v>
      </c>
      <c r="C83" s="25">
        <f t="shared" si="2"/>
        <v>8.7326943556975373E-2</v>
      </c>
    </row>
    <row r="84" spans="1:3" x14ac:dyDescent="0.3">
      <c r="A84" s="5" t="s">
        <v>62</v>
      </c>
      <c r="B84" s="1">
        <v>104.7</v>
      </c>
      <c r="C84" s="25">
        <f t="shared" si="2"/>
        <v>9.5188284518828548E-2</v>
      </c>
    </row>
    <row r="85" spans="1:3" x14ac:dyDescent="0.3">
      <c r="A85" s="5" t="s">
        <v>63</v>
      </c>
      <c r="B85" s="2">
        <v>103.9</v>
      </c>
      <c r="C85" s="25">
        <f t="shared" si="2"/>
        <v>5.8044806517311635E-2</v>
      </c>
    </row>
    <row r="86" spans="1:3" x14ac:dyDescent="0.3">
      <c r="A86" s="5" t="s">
        <v>64</v>
      </c>
      <c r="B86" s="1">
        <v>104.5</v>
      </c>
      <c r="C86" s="25">
        <f t="shared" si="2"/>
        <v>4.3956043956044015E-2</v>
      </c>
    </row>
    <row r="87" spans="1:3" x14ac:dyDescent="0.3">
      <c r="A87" s="5" t="s">
        <v>65</v>
      </c>
      <c r="B87" s="3">
        <v>105</v>
      </c>
      <c r="C87" s="25">
        <f t="shared" si="2"/>
        <v>2.8403525954946187E-2</v>
      </c>
    </row>
    <row r="88" spans="1:3" x14ac:dyDescent="0.3">
      <c r="A88" s="5" t="s">
        <v>66</v>
      </c>
      <c r="B88" s="1">
        <v>102.7</v>
      </c>
      <c r="C88" s="25">
        <f t="shared" si="2"/>
        <v>-1.9102196752626553E-2</v>
      </c>
    </row>
    <row r="89" spans="1:3" x14ac:dyDescent="0.3">
      <c r="A89" s="5" t="s">
        <v>67</v>
      </c>
      <c r="B89" s="2">
        <v>101.8</v>
      </c>
      <c r="C89" s="25">
        <f t="shared" si="2"/>
        <v>-2.0211742059672844E-2</v>
      </c>
    </row>
    <row r="90" spans="1:3" x14ac:dyDescent="0.3">
      <c r="A90" s="5" t="s">
        <v>68</v>
      </c>
      <c r="B90" s="4">
        <v>99</v>
      </c>
      <c r="C90" s="25">
        <f t="shared" si="2"/>
        <v>-5.2631578947368418E-2</v>
      </c>
    </row>
    <row r="91" spans="1:3" x14ac:dyDescent="0.3">
      <c r="A91" s="5" t="s">
        <v>69</v>
      </c>
      <c r="B91" s="2">
        <v>98.3</v>
      </c>
      <c r="C91" s="25">
        <f t="shared" si="2"/>
        <v>-6.380952380952383E-2</v>
      </c>
    </row>
    <row r="92" spans="1:3" x14ac:dyDescent="0.3">
      <c r="A92" s="5" t="s">
        <v>70</v>
      </c>
      <c r="B92" s="4">
        <v>98</v>
      </c>
      <c r="C92" s="25">
        <f t="shared" si="2"/>
        <v>-4.5764362220058447E-2</v>
      </c>
    </row>
    <row r="93" spans="1:3" x14ac:dyDescent="0.3">
      <c r="A93" s="5" t="s">
        <v>71</v>
      </c>
      <c r="B93" s="2">
        <v>95.1</v>
      </c>
      <c r="C93" s="25">
        <f t="shared" si="2"/>
        <v>-6.5815324165029498E-2</v>
      </c>
    </row>
    <row r="94" spans="1:3" x14ac:dyDescent="0.3">
      <c r="A94" s="5" t="s">
        <v>72</v>
      </c>
      <c r="B94" s="1">
        <v>94.5</v>
      </c>
      <c r="C94" s="25">
        <f t="shared" si="2"/>
        <v>-4.5454545454545456E-2</v>
      </c>
    </row>
    <row r="95" spans="1:3" x14ac:dyDescent="0.3">
      <c r="A95" s="5" t="s">
        <v>73</v>
      </c>
      <c r="B95" s="2">
        <v>94.5</v>
      </c>
      <c r="C95" s="25">
        <f t="shared" si="2"/>
        <v>-3.8657171922685626E-2</v>
      </c>
    </row>
    <row r="96" spans="1:3" x14ac:dyDescent="0.3">
      <c r="A96" s="5" t="s">
        <v>74</v>
      </c>
      <c r="B96" s="1">
        <v>94.4</v>
      </c>
      <c r="C96" s="25">
        <f t="shared" si="2"/>
        <v>-3.6734693877550961E-2</v>
      </c>
    </row>
    <row r="97" spans="1:3" x14ac:dyDescent="0.3">
      <c r="A97" s="5" t="s">
        <v>75</v>
      </c>
      <c r="B97" s="2">
        <v>94.8</v>
      </c>
      <c r="C97" s="25">
        <f t="shared" si="2"/>
        <v>-3.154574132492084E-3</v>
      </c>
    </row>
    <row r="98" spans="1:3" x14ac:dyDescent="0.3">
      <c r="A98" s="5" t="s">
        <v>76</v>
      </c>
      <c r="B98" s="1">
        <v>94.7</v>
      </c>
      <c r="C98" s="25">
        <f t="shared" si="2"/>
        <v>2.1164021164021465E-3</v>
      </c>
    </row>
    <row r="99" spans="1:3" x14ac:dyDescent="0.3">
      <c r="A99" s="5" t="s">
        <v>77</v>
      </c>
      <c r="B99" s="2">
        <v>94.5</v>
      </c>
      <c r="C99" s="25">
        <f t="shared" si="2"/>
        <v>0</v>
      </c>
    </row>
    <row r="100" spans="1:3" x14ac:dyDescent="0.3">
      <c r="A100" s="5" t="s">
        <v>78</v>
      </c>
      <c r="B100" s="1">
        <v>93.2</v>
      </c>
      <c r="C100" s="25">
        <f t="shared" si="2"/>
        <v>-1.271186440677969E-2</v>
      </c>
    </row>
    <row r="101" spans="1:3" x14ac:dyDescent="0.3">
      <c r="A101" s="5" t="s">
        <v>79</v>
      </c>
      <c r="B101" s="2">
        <v>93.4</v>
      </c>
      <c r="C101" s="25">
        <f t="shared" si="2"/>
        <v>-1.4767932489451387E-2</v>
      </c>
    </row>
    <row r="102" spans="1:3" x14ac:dyDescent="0.3">
      <c r="A102" s="5" t="s">
        <v>80</v>
      </c>
      <c r="B102" s="1">
        <v>94.3</v>
      </c>
      <c r="C102" s="25">
        <f t="shared" ref="C102:C133" si="3">(B102-B98)/B98</f>
        <v>-4.2238648363252971E-3</v>
      </c>
    </row>
    <row r="103" spans="1:3" x14ac:dyDescent="0.3">
      <c r="A103" s="5" t="s">
        <v>81</v>
      </c>
      <c r="B103" s="2">
        <v>95.4</v>
      </c>
      <c r="C103" s="25">
        <f t="shared" si="3"/>
        <v>9.5238095238095836E-3</v>
      </c>
    </row>
    <row r="104" spans="1:3" x14ac:dyDescent="0.3">
      <c r="A104" s="5" t="s">
        <v>82</v>
      </c>
      <c r="B104" s="1">
        <v>95.2</v>
      </c>
      <c r="C104" s="25">
        <f t="shared" si="3"/>
        <v>2.1459227467811159E-2</v>
      </c>
    </row>
    <row r="105" spans="1:3" x14ac:dyDescent="0.3">
      <c r="A105" s="5" t="s">
        <v>83</v>
      </c>
      <c r="B105" s="2">
        <v>95.1</v>
      </c>
      <c r="C105" s="25">
        <f t="shared" si="3"/>
        <v>1.8201284796573753E-2</v>
      </c>
    </row>
    <row r="106" spans="1:3" x14ac:dyDescent="0.3">
      <c r="A106" s="5" t="s">
        <v>84</v>
      </c>
      <c r="B106" s="1">
        <v>96.1</v>
      </c>
      <c r="C106" s="25">
        <f t="shared" si="3"/>
        <v>1.9088016967126163E-2</v>
      </c>
    </row>
    <row r="107" spans="1:3" x14ac:dyDescent="0.3">
      <c r="A107" s="5" t="s">
        <v>85</v>
      </c>
      <c r="B107" s="2">
        <v>95.9</v>
      </c>
      <c r="C107" s="25">
        <f t="shared" si="3"/>
        <v>5.2410901467505235E-3</v>
      </c>
    </row>
    <row r="108" spans="1:3" x14ac:dyDescent="0.3">
      <c r="A108" s="5" t="s">
        <v>86</v>
      </c>
      <c r="B108" s="4">
        <v>97</v>
      </c>
      <c r="C108" s="25">
        <f t="shared" si="3"/>
        <v>1.8907563025210055E-2</v>
      </c>
    </row>
    <row r="109" spans="1:3" x14ac:dyDescent="0.3">
      <c r="A109" s="5" t="s">
        <v>87</v>
      </c>
      <c r="B109" s="2">
        <v>98.8</v>
      </c>
      <c r="C109" s="25">
        <f t="shared" si="3"/>
        <v>3.8906414300736103E-2</v>
      </c>
    </row>
    <row r="110" spans="1:3" x14ac:dyDescent="0.3">
      <c r="A110" s="5" t="s">
        <v>88</v>
      </c>
      <c r="B110" s="1">
        <v>98.1</v>
      </c>
      <c r="C110" s="25">
        <f t="shared" si="3"/>
        <v>2.081165452653486E-2</v>
      </c>
    </row>
    <row r="111" spans="1:3" x14ac:dyDescent="0.3">
      <c r="A111" s="5" t="s">
        <v>89</v>
      </c>
      <c r="B111" s="2">
        <v>99.6</v>
      </c>
      <c r="C111" s="25">
        <f t="shared" si="3"/>
        <v>3.8581856100104152E-2</v>
      </c>
    </row>
    <row r="112" spans="1:3" x14ac:dyDescent="0.3">
      <c r="A112" s="5" t="s">
        <v>90</v>
      </c>
      <c r="B112" s="1">
        <v>101.7</v>
      </c>
      <c r="C112" s="25">
        <f t="shared" si="3"/>
        <v>4.8453608247422709E-2</v>
      </c>
    </row>
    <row r="113" spans="1:3" x14ac:dyDescent="0.3">
      <c r="A113" s="5" t="s">
        <v>91</v>
      </c>
      <c r="B113" s="2">
        <v>102.9</v>
      </c>
      <c r="C113" s="25">
        <f t="shared" si="3"/>
        <v>4.1497975708502111E-2</v>
      </c>
    </row>
    <row r="114" spans="1:3" x14ac:dyDescent="0.3">
      <c r="A114" s="5" t="s">
        <v>92</v>
      </c>
      <c r="B114" s="1">
        <v>101.6</v>
      </c>
      <c r="C114" s="25">
        <f t="shared" si="3"/>
        <v>3.5677879714576963E-2</v>
      </c>
    </row>
    <row r="115" spans="1:3" x14ac:dyDescent="0.3">
      <c r="A115" s="5" t="s">
        <v>93</v>
      </c>
      <c r="B115" s="2">
        <v>101.6</v>
      </c>
      <c r="C115" s="25">
        <f t="shared" si="3"/>
        <v>2.0080321285140562E-2</v>
      </c>
    </row>
    <row r="116" spans="1:3" x14ac:dyDescent="0.3">
      <c r="A116" s="5" t="s">
        <v>94</v>
      </c>
      <c r="B116" s="1">
        <v>101.7</v>
      </c>
      <c r="C116" s="25">
        <f t="shared" si="3"/>
        <v>0</v>
      </c>
    </row>
    <row r="117" spans="1:3" x14ac:dyDescent="0.3">
      <c r="A117" s="5" t="s">
        <v>95</v>
      </c>
      <c r="B117" s="2">
        <v>100.8</v>
      </c>
      <c r="C117" s="25">
        <f t="shared" si="3"/>
        <v>-2.0408163265306204E-2</v>
      </c>
    </row>
    <row r="118" spans="1:3" x14ac:dyDescent="0.3">
      <c r="A118" s="5" t="s">
        <v>96</v>
      </c>
      <c r="B118" s="1">
        <v>101.1</v>
      </c>
      <c r="C118" s="25">
        <f t="shared" si="3"/>
        <v>-4.921259842519685E-3</v>
      </c>
    </row>
    <row r="119" spans="1:3" x14ac:dyDescent="0.3">
      <c r="A119" s="5" t="s">
        <v>97</v>
      </c>
      <c r="B119" s="2">
        <v>100.6</v>
      </c>
      <c r="C119" s="25">
        <f t="shared" si="3"/>
        <v>-9.8425196850393699E-3</v>
      </c>
    </row>
    <row r="120" spans="1:3" x14ac:dyDescent="0.3">
      <c r="A120" s="5" t="s">
        <v>98</v>
      </c>
      <c r="B120" s="1">
        <v>100.6</v>
      </c>
      <c r="C120" s="25">
        <f t="shared" si="3"/>
        <v>-1.0816125860373732E-2</v>
      </c>
    </row>
    <row r="121" spans="1:3" x14ac:dyDescent="0.3">
      <c r="A121" s="5" t="s">
        <v>99</v>
      </c>
      <c r="B121" s="2">
        <v>98.7</v>
      </c>
      <c r="C121" s="25">
        <f t="shared" si="3"/>
        <v>-2.0833333333333277E-2</v>
      </c>
    </row>
    <row r="122" spans="1:3" x14ac:dyDescent="0.3">
      <c r="A122" s="5" t="s">
        <v>100</v>
      </c>
      <c r="B122" s="1">
        <v>89.7</v>
      </c>
      <c r="C122" s="25">
        <f t="shared" si="3"/>
        <v>-0.11275964391691387</v>
      </c>
    </row>
    <row r="123" spans="1:3" x14ac:dyDescent="0.3">
      <c r="A123" s="5" t="s">
        <v>101</v>
      </c>
      <c r="B123" s="2">
        <v>74.5</v>
      </c>
      <c r="C123" s="25">
        <f t="shared" si="3"/>
        <v>-0.25944333996023855</v>
      </c>
    </row>
    <row r="124" spans="1:3" x14ac:dyDescent="0.3">
      <c r="A124" s="5" t="s">
        <v>102</v>
      </c>
      <c r="B124" s="1">
        <v>96.2</v>
      </c>
      <c r="C124" s="25">
        <f t="shared" si="3"/>
        <v>-4.3737574552683817E-2</v>
      </c>
    </row>
    <row r="125" spans="1:3" x14ac:dyDescent="0.3">
      <c r="A125" s="5" t="s">
        <v>103</v>
      </c>
      <c r="B125" s="2">
        <v>96.3</v>
      </c>
      <c r="C125" s="25">
        <f t="shared" si="3"/>
        <v>-2.4316109422492457E-2</v>
      </c>
    </row>
    <row r="126" spans="1:3" x14ac:dyDescent="0.3">
      <c r="A126" s="5" t="s">
        <v>104</v>
      </c>
      <c r="B126" s="1">
        <v>98.1</v>
      </c>
      <c r="C126" s="25">
        <f t="shared" si="3"/>
        <v>9.3645484949832672E-2</v>
      </c>
    </row>
    <row r="127" spans="1:3" x14ac:dyDescent="0.3">
      <c r="A127" s="5" t="s">
        <v>105</v>
      </c>
      <c r="B127" s="2">
        <v>99.3</v>
      </c>
      <c r="C127" s="25">
        <f t="shared" si="3"/>
        <v>0.33288590604026841</v>
      </c>
    </row>
    <row r="128" spans="1:3" x14ac:dyDescent="0.3">
      <c r="A128" s="5" t="s">
        <v>106</v>
      </c>
      <c r="B128" s="1">
        <v>100.2</v>
      </c>
      <c r="C128" s="25">
        <f t="shared" si="3"/>
        <v>4.1580041580041575E-2</v>
      </c>
    </row>
    <row r="129" spans="1:3" x14ac:dyDescent="0.3">
      <c r="A129" s="5" t="s">
        <v>107</v>
      </c>
      <c r="B129" s="3">
        <v>101</v>
      </c>
      <c r="C129" s="25">
        <f t="shared" si="3"/>
        <v>4.8805815160955376E-2</v>
      </c>
    </row>
    <row r="130" spans="1:3" x14ac:dyDescent="0.3">
      <c r="A130" s="5" t="s">
        <v>108</v>
      </c>
      <c r="B130" s="1">
        <v>99.5</v>
      </c>
      <c r="C130" s="25">
        <f t="shared" si="3"/>
        <v>1.4271151885830844E-2</v>
      </c>
    </row>
    <row r="131" spans="1:3" x14ac:dyDescent="0.3">
      <c r="A131" s="5" t="s">
        <v>109</v>
      </c>
      <c r="B131" s="2">
        <v>101.3</v>
      </c>
      <c r="C131" s="25">
        <f t="shared" si="3"/>
        <v>2.014098690835851E-2</v>
      </c>
    </row>
    <row r="132" spans="1:3" x14ac:dyDescent="0.3">
      <c r="A132" s="5" t="s">
        <v>110</v>
      </c>
      <c r="B132" s="1">
        <v>100.6</v>
      </c>
      <c r="C132" s="25">
        <f t="shared" si="3"/>
        <v>3.9920159680637869E-3</v>
      </c>
    </row>
    <row r="133" spans="1:3" x14ac:dyDescent="0.3">
      <c r="A133" s="5" t="s">
        <v>111</v>
      </c>
      <c r="B133" s="2">
        <v>98.8</v>
      </c>
      <c r="C133" s="25">
        <f t="shared" si="3"/>
        <v>-2.1782178217821812E-2</v>
      </c>
    </row>
    <row r="134" spans="1:3" x14ac:dyDescent="0.3">
      <c r="A134" s="5" t="s">
        <v>112</v>
      </c>
      <c r="B134" s="1">
        <v>98.9</v>
      </c>
      <c r="C134" s="25">
        <f t="shared" ref="C134:C145" si="4">(B134-B130)/B130</f>
        <v>-6.0301507537687867E-3</v>
      </c>
    </row>
    <row r="135" spans="1:3" x14ac:dyDescent="0.3">
      <c r="A135" s="5" t="s">
        <v>113</v>
      </c>
      <c r="B135" s="2">
        <v>97.8</v>
      </c>
      <c r="C135" s="25">
        <f t="shared" si="4"/>
        <v>-3.4550839091806514E-2</v>
      </c>
    </row>
    <row r="136" spans="1:3" x14ac:dyDescent="0.3">
      <c r="A136" s="5" t="s">
        <v>114</v>
      </c>
      <c r="B136" s="1">
        <v>97.8</v>
      </c>
      <c r="C136" s="25">
        <f t="shared" si="4"/>
        <v>-2.7833001988071544E-2</v>
      </c>
    </row>
    <row r="137" spans="1:3" x14ac:dyDescent="0.3">
      <c r="A137" s="5" t="s">
        <v>115</v>
      </c>
      <c r="B137" s="2">
        <v>97.2</v>
      </c>
      <c r="C137" s="25">
        <f t="shared" si="4"/>
        <v>-1.6194331983805613E-2</v>
      </c>
    </row>
    <row r="138" spans="1:3" x14ac:dyDescent="0.3">
      <c r="A138" s="5" t="s">
        <v>116</v>
      </c>
      <c r="B138" s="1">
        <v>95.4</v>
      </c>
      <c r="C138" s="25">
        <f t="shared" si="4"/>
        <v>-3.5389282103134474E-2</v>
      </c>
    </row>
    <row r="139" spans="1:3" x14ac:dyDescent="0.3">
      <c r="A139" s="5" t="s">
        <v>117</v>
      </c>
      <c r="B139" s="2">
        <v>94.4</v>
      </c>
      <c r="C139" s="25">
        <f t="shared" si="4"/>
        <v>-3.4764826175869033E-2</v>
      </c>
    </row>
    <row r="140" spans="1:3" x14ac:dyDescent="0.3">
      <c r="A140" s="5" t="s">
        <v>118</v>
      </c>
      <c r="B140" s="1">
        <v>93.4</v>
      </c>
      <c r="C140" s="25">
        <f t="shared" si="4"/>
        <v>-4.4989775051124656E-2</v>
      </c>
    </row>
    <row r="141" spans="1:3" x14ac:dyDescent="0.3">
      <c r="A141" s="5" t="s">
        <v>119</v>
      </c>
      <c r="B141" s="3">
        <v>93</v>
      </c>
      <c r="C141" s="25">
        <f t="shared" si="4"/>
        <v>-4.3209876543209902E-2</v>
      </c>
    </row>
    <row r="142" spans="1:3" x14ac:dyDescent="0.3">
      <c r="A142" s="5" t="s">
        <v>120</v>
      </c>
      <c r="B142" s="1">
        <v>93.5</v>
      </c>
      <c r="C142" s="25">
        <f t="shared" si="4"/>
        <v>-1.9916142557652051E-2</v>
      </c>
    </row>
    <row r="143" spans="1:3" x14ac:dyDescent="0.3">
      <c r="A143" s="5" t="s">
        <v>121</v>
      </c>
      <c r="B143" s="2">
        <v>93.8</v>
      </c>
      <c r="C143" s="25">
        <f t="shared" si="4"/>
        <v>-6.3559322033899203E-3</v>
      </c>
    </row>
    <row r="144" spans="1:3" x14ac:dyDescent="0.3">
      <c r="A144" s="5" t="s">
        <v>122</v>
      </c>
      <c r="B144" s="1">
        <v>93.7</v>
      </c>
      <c r="C144" s="25">
        <f t="shared" si="4"/>
        <v>3.2119914346894767E-3</v>
      </c>
    </row>
    <row r="145" spans="1:3" x14ac:dyDescent="0.3">
      <c r="A145" s="5" t="s">
        <v>123</v>
      </c>
      <c r="B145" s="2">
        <v>94.1</v>
      </c>
      <c r="C145" s="25">
        <f t="shared" si="4"/>
        <v>1.1827956989247251E-2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4"/>
  <sheetViews>
    <sheetView workbookViewId="0">
      <selection activeCell="D4" sqref="D4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 s="5" t="s">
        <v>165</v>
      </c>
      <c r="B2" s="1">
        <v>54.3</v>
      </c>
      <c r="D2" s="28">
        <f>AVERAGE(B2:B4)</f>
        <v>54.5</v>
      </c>
    </row>
    <row r="3" spans="1:4" x14ac:dyDescent="0.3">
      <c r="A3" s="5" t="s">
        <v>166</v>
      </c>
      <c r="B3" s="2">
        <v>54.5</v>
      </c>
      <c r="D3" s="28">
        <f>AVERAGE(B5:B7)</f>
        <v>55.1</v>
      </c>
    </row>
    <row r="4" spans="1:4" x14ac:dyDescent="0.3">
      <c r="A4" s="5" t="s">
        <v>167</v>
      </c>
      <c r="B4" s="1">
        <v>54.7</v>
      </c>
    </row>
    <row r="5" spans="1:4" x14ac:dyDescent="0.3">
      <c r="A5" s="5" t="s">
        <v>168</v>
      </c>
      <c r="B5" s="2">
        <v>54.9</v>
      </c>
    </row>
    <row r="6" spans="1:4" x14ac:dyDescent="0.3">
      <c r="A6" s="5" t="s">
        <v>169</v>
      </c>
      <c r="B6" s="1">
        <v>55.1</v>
      </c>
    </row>
    <row r="7" spans="1:4" x14ac:dyDescent="0.3">
      <c r="A7" s="5" t="s">
        <v>170</v>
      </c>
      <c r="B7" s="2">
        <v>55.3</v>
      </c>
    </row>
    <row r="8" spans="1:4" x14ac:dyDescent="0.3">
      <c r="A8" s="5" t="s">
        <v>171</v>
      </c>
      <c r="B8" s="1">
        <v>55.2</v>
      </c>
    </row>
    <row r="9" spans="1:4" x14ac:dyDescent="0.3">
      <c r="A9" s="5" t="s">
        <v>172</v>
      </c>
      <c r="B9" s="2">
        <v>55.3</v>
      </c>
    </row>
    <row r="10" spans="1:4" x14ac:dyDescent="0.3">
      <c r="A10" s="5" t="s">
        <v>173</v>
      </c>
      <c r="B10" s="1">
        <v>55.3</v>
      </c>
    </row>
    <row r="11" spans="1:4" x14ac:dyDescent="0.3">
      <c r="A11" s="5" t="s">
        <v>174</v>
      </c>
      <c r="B11" s="2">
        <v>55.4</v>
      </c>
    </row>
    <row r="12" spans="1:4" x14ac:dyDescent="0.3">
      <c r="A12" s="5" t="s">
        <v>175</v>
      </c>
      <c r="B12" s="1">
        <v>55.6</v>
      </c>
    </row>
    <row r="13" spans="1:4" x14ac:dyDescent="0.3">
      <c r="A13" s="5" t="s">
        <v>176</v>
      </c>
      <c r="B13" s="2">
        <v>55.6</v>
      </c>
    </row>
    <row r="14" spans="1:4" x14ac:dyDescent="0.3">
      <c r="A14" s="5" t="s">
        <v>177</v>
      </c>
      <c r="B14" s="1">
        <v>55.8</v>
      </c>
    </row>
    <row r="15" spans="1:4" x14ac:dyDescent="0.3">
      <c r="A15" s="5" t="s">
        <v>178</v>
      </c>
      <c r="B15" s="2">
        <v>55.8</v>
      </c>
    </row>
    <row r="16" spans="1:4" x14ac:dyDescent="0.3">
      <c r="A16" s="5" t="s">
        <v>179</v>
      </c>
      <c r="B16" s="1">
        <v>55.9</v>
      </c>
    </row>
    <row r="17" spans="1:2" x14ac:dyDescent="0.3">
      <c r="A17" s="5" t="s">
        <v>180</v>
      </c>
      <c r="B17" s="3">
        <v>56</v>
      </c>
    </row>
    <row r="18" spans="1:2" x14ac:dyDescent="0.3">
      <c r="A18" s="5" t="s">
        <v>181</v>
      </c>
      <c r="B18" s="1">
        <v>56.1</v>
      </c>
    </row>
    <row r="19" spans="1:2" x14ac:dyDescent="0.3">
      <c r="A19" s="5" t="s">
        <v>182</v>
      </c>
      <c r="B19" s="2">
        <v>56.1</v>
      </c>
    </row>
    <row r="20" spans="1:2" x14ac:dyDescent="0.3">
      <c r="A20" s="5" t="s">
        <v>183</v>
      </c>
      <c r="B20" s="1">
        <v>56.1</v>
      </c>
    </row>
    <row r="21" spans="1:2" x14ac:dyDescent="0.3">
      <c r="A21" s="5" t="s">
        <v>184</v>
      </c>
      <c r="B21" s="2">
        <v>56.1</v>
      </c>
    </row>
    <row r="22" spans="1:2" x14ac:dyDescent="0.3">
      <c r="A22" s="5" t="s">
        <v>185</v>
      </c>
      <c r="B22" s="1">
        <v>56.2</v>
      </c>
    </row>
    <row r="23" spans="1:2" x14ac:dyDescent="0.3">
      <c r="A23" s="5" t="s">
        <v>186</v>
      </c>
      <c r="B23" s="2">
        <v>56.4</v>
      </c>
    </row>
    <row r="24" spans="1:2" x14ac:dyDescent="0.3">
      <c r="A24" s="5" t="s">
        <v>187</v>
      </c>
      <c r="B24" s="1">
        <v>56.6</v>
      </c>
    </row>
    <row r="25" spans="1:2" x14ac:dyDescent="0.3">
      <c r="A25" s="5" t="s">
        <v>188</v>
      </c>
      <c r="B25" s="2">
        <v>56.6</v>
      </c>
    </row>
    <row r="26" spans="1:2" x14ac:dyDescent="0.3">
      <c r="A26" s="5" t="s">
        <v>189</v>
      </c>
      <c r="B26" s="1">
        <v>56.8</v>
      </c>
    </row>
    <row r="27" spans="1:2" x14ac:dyDescent="0.3">
      <c r="A27" s="5" t="s">
        <v>190</v>
      </c>
      <c r="B27" s="3">
        <v>57</v>
      </c>
    </row>
    <row r="28" spans="1:2" x14ac:dyDescent="0.3">
      <c r="A28" s="5" t="s">
        <v>191</v>
      </c>
      <c r="B28" s="1">
        <v>57.1</v>
      </c>
    </row>
    <row r="29" spans="1:2" x14ac:dyDescent="0.3">
      <c r="A29" s="5" t="s">
        <v>192</v>
      </c>
      <c r="B29" s="2">
        <v>57.2</v>
      </c>
    </row>
    <row r="30" spans="1:2" x14ac:dyDescent="0.3">
      <c r="A30" s="5" t="s">
        <v>193</v>
      </c>
      <c r="B30" s="1">
        <v>57.2</v>
      </c>
    </row>
    <row r="31" spans="1:2" x14ac:dyDescent="0.3">
      <c r="A31" s="5" t="s">
        <v>194</v>
      </c>
      <c r="B31" s="2">
        <v>57.3</v>
      </c>
    </row>
    <row r="32" spans="1:2" x14ac:dyDescent="0.3">
      <c r="A32" s="5" t="s">
        <v>195</v>
      </c>
      <c r="B32" s="1">
        <v>57.3</v>
      </c>
    </row>
    <row r="33" spans="1:2" x14ac:dyDescent="0.3">
      <c r="A33" s="5" t="s">
        <v>196</v>
      </c>
      <c r="B33" s="2">
        <v>57.4</v>
      </c>
    </row>
    <row r="34" spans="1:2" x14ac:dyDescent="0.3">
      <c r="A34" s="5" t="s">
        <v>197</v>
      </c>
      <c r="B34" s="1">
        <v>57.4</v>
      </c>
    </row>
    <row r="35" spans="1:2" x14ac:dyDescent="0.3">
      <c r="A35" s="5" t="s">
        <v>198</v>
      </c>
      <c r="B35" s="2">
        <v>57.5</v>
      </c>
    </row>
    <row r="36" spans="1:2" x14ac:dyDescent="0.3">
      <c r="A36" s="5" t="s">
        <v>199</v>
      </c>
      <c r="B36" s="1">
        <v>57.5</v>
      </c>
    </row>
    <row r="37" spans="1:2" x14ac:dyDescent="0.3">
      <c r="A37" s="5" t="s">
        <v>200</v>
      </c>
      <c r="B37" s="2">
        <v>57.6</v>
      </c>
    </row>
    <row r="38" spans="1:2" x14ac:dyDescent="0.3">
      <c r="A38" s="5" t="s">
        <v>201</v>
      </c>
      <c r="B38" s="1">
        <v>57.6</v>
      </c>
    </row>
    <row r="39" spans="1:2" x14ac:dyDescent="0.3">
      <c r="A39" s="5" t="s">
        <v>202</v>
      </c>
      <c r="B39" s="2">
        <v>57.7</v>
      </c>
    </row>
    <row r="40" spans="1:2" x14ac:dyDescent="0.3">
      <c r="A40" s="5" t="s">
        <v>203</v>
      </c>
      <c r="B40" s="1">
        <v>57.8</v>
      </c>
    </row>
    <row r="41" spans="1:2" x14ac:dyDescent="0.3">
      <c r="A41" s="5" t="s">
        <v>204</v>
      </c>
      <c r="B41" s="3">
        <v>58</v>
      </c>
    </row>
    <row r="42" spans="1:2" x14ac:dyDescent="0.3">
      <c r="A42" s="5" t="s">
        <v>205</v>
      </c>
      <c r="B42" s="1">
        <v>58.1</v>
      </c>
    </row>
    <row r="43" spans="1:2" x14ac:dyDescent="0.3">
      <c r="A43" s="5" t="s">
        <v>206</v>
      </c>
      <c r="B43" s="2">
        <v>58.1</v>
      </c>
    </row>
    <row r="44" spans="1:2" x14ac:dyDescent="0.3">
      <c r="A44" s="5" t="s">
        <v>207</v>
      </c>
      <c r="B44" s="1">
        <v>58.3</v>
      </c>
    </row>
    <row r="45" spans="1:2" x14ac:dyDescent="0.3">
      <c r="A45" s="5" t="s">
        <v>208</v>
      </c>
      <c r="B45" s="2">
        <v>58.3</v>
      </c>
    </row>
    <row r="46" spans="1:2" x14ac:dyDescent="0.3">
      <c r="A46" s="5" t="s">
        <v>209</v>
      </c>
      <c r="B46" s="1">
        <v>58.5</v>
      </c>
    </row>
    <row r="47" spans="1:2" x14ac:dyDescent="0.3">
      <c r="A47" s="5" t="s">
        <v>210</v>
      </c>
      <c r="B47" s="2">
        <v>58.6</v>
      </c>
    </row>
    <row r="48" spans="1:2" x14ac:dyDescent="0.3">
      <c r="A48" s="5" t="s">
        <v>211</v>
      </c>
      <c r="B48" s="1">
        <v>58.7</v>
      </c>
    </row>
    <row r="49" spans="1:2" x14ac:dyDescent="0.3">
      <c r="A49" s="5" t="s">
        <v>212</v>
      </c>
      <c r="B49" s="2">
        <v>58.8</v>
      </c>
    </row>
    <row r="50" spans="1:2" x14ac:dyDescent="0.3">
      <c r="A50" s="5" t="s">
        <v>213</v>
      </c>
      <c r="B50" s="1">
        <v>58.9</v>
      </c>
    </row>
    <row r="51" spans="1:2" x14ac:dyDescent="0.3">
      <c r="A51" s="5" t="s">
        <v>214</v>
      </c>
      <c r="B51" s="2">
        <v>59.1</v>
      </c>
    </row>
    <row r="52" spans="1:2" x14ac:dyDescent="0.3">
      <c r="A52" s="5" t="s">
        <v>215</v>
      </c>
      <c r="B52" s="1">
        <v>59.3</v>
      </c>
    </row>
    <row r="53" spans="1:2" x14ac:dyDescent="0.3">
      <c r="A53" s="5" t="s">
        <v>216</v>
      </c>
      <c r="B53" s="2">
        <v>59.3</v>
      </c>
    </row>
    <row r="54" spans="1:2" x14ac:dyDescent="0.3">
      <c r="A54" s="5" t="s">
        <v>217</v>
      </c>
      <c r="B54" s="1">
        <v>59.6</v>
      </c>
    </row>
    <row r="55" spans="1:2" x14ac:dyDescent="0.3">
      <c r="A55" s="5" t="s">
        <v>218</v>
      </c>
      <c r="B55" s="2">
        <v>59.7</v>
      </c>
    </row>
    <row r="56" spans="1:2" x14ac:dyDescent="0.3">
      <c r="A56" s="5" t="s">
        <v>219</v>
      </c>
      <c r="B56" s="1">
        <v>59.8</v>
      </c>
    </row>
    <row r="57" spans="1:2" x14ac:dyDescent="0.3">
      <c r="A57" s="5" t="s">
        <v>220</v>
      </c>
      <c r="B57" s="2">
        <v>59.8</v>
      </c>
    </row>
    <row r="58" spans="1:2" x14ac:dyDescent="0.3">
      <c r="A58" s="5" t="s">
        <v>221</v>
      </c>
      <c r="B58" s="4">
        <v>60</v>
      </c>
    </row>
    <row r="59" spans="1:2" x14ac:dyDescent="0.3">
      <c r="A59" s="5" t="s">
        <v>222</v>
      </c>
      <c r="B59" s="2">
        <v>60.2</v>
      </c>
    </row>
    <row r="60" spans="1:2" x14ac:dyDescent="0.3">
      <c r="A60" s="5" t="s">
        <v>223</v>
      </c>
      <c r="B60" s="1">
        <v>60.4</v>
      </c>
    </row>
    <row r="61" spans="1:2" x14ac:dyDescent="0.3">
      <c r="A61" s="5" t="s">
        <v>224</v>
      </c>
      <c r="B61" s="2">
        <v>60.4</v>
      </c>
    </row>
    <row r="62" spans="1:2" x14ac:dyDescent="0.3">
      <c r="A62" s="5" t="s">
        <v>225</v>
      </c>
      <c r="B62" s="1">
        <v>60.3</v>
      </c>
    </row>
    <row r="63" spans="1:2" x14ac:dyDescent="0.3">
      <c r="A63" s="5" t="s">
        <v>226</v>
      </c>
      <c r="B63" s="3">
        <v>60</v>
      </c>
    </row>
    <row r="64" spans="1:2" x14ac:dyDescent="0.3">
      <c r="A64" s="5" t="s">
        <v>227</v>
      </c>
      <c r="B64" s="1">
        <v>60.6</v>
      </c>
    </row>
    <row r="65" spans="1:2" x14ac:dyDescent="0.3">
      <c r="A65" s="5" t="s">
        <v>228</v>
      </c>
      <c r="B65" s="3">
        <v>61</v>
      </c>
    </row>
    <row r="66" spans="1:2" x14ac:dyDescent="0.3">
      <c r="A66" s="5" t="s">
        <v>229</v>
      </c>
      <c r="B66" s="1">
        <v>61.3</v>
      </c>
    </row>
    <row r="67" spans="1:2" x14ac:dyDescent="0.3">
      <c r="A67" s="5" t="s">
        <v>230</v>
      </c>
      <c r="B67" s="2">
        <v>61.4</v>
      </c>
    </row>
    <row r="68" spans="1:2" x14ac:dyDescent="0.3">
      <c r="A68" s="5" t="s">
        <v>231</v>
      </c>
      <c r="B68" s="1">
        <v>61.3</v>
      </c>
    </row>
    <row r="69" spans="1:2" x14ac:dyDescent="0.3">
      <c r="A69" s="5" t="s">
        <v>232</v>
      </c>
      <c r="B69" s="3">
        <v>61</v>
      </c>
    </row>
    <row r="70" spans="1:2" x14ac:dyDescent="0.3">
      <c r="A70" s="5" t="s">
        <v>233</v>
      </c>
      <c r="B70" s="1">
        <v>61.3</v>
      </c>
    </row>
    <row r="71" spans="1:2" x14ac:dyDescent="0.3">
      <c r="A71" s="5" t="s">
        <v>234</v>
      </c>
      <c r="B71" s="2">
        <v>61.6</v>
      </c>
    </row>
    <row r="72" spans="1:2" x14ac:dyDescent="0.3">
      <c r="A72" s="5" t="s">
        <v>235</v>
      </c>
      <c r="B72" s="1">
        <v>61.7</v>
      </c>
    </row>
    <row r="73" spans="1:2" x14ac:dyDescent="0.3">
      <c r="A73" s="5" t="s">
        <v>236</v>
      </c>
      <c r="B73" s="2">
        <v>61.8</v>
      </c>
    </row>
    <row r="74" spans="1:2" x14ac:dyDescent="0.3">
      <c r="A74" s="5" t="s">
        <v>237</v>
      </c>
      <c r="B74" s="1">
        <v>61.7</v>
      </c>
    </row>
    <row r="75" spans="1:2" x14ac:dyDescent="0.3">
      <c r="A75" s="5" t="s">
        <v>238</v>
      </c>
      <c r="B75" s="2">
        <v>61.6</v>
      </c>
    </row>
    <row r="76" spans="1:2" x14ac:dyDescent="0.3">
      <c r="A76" s="5" t="s">
        <v>239</v>
      </c>
      <c r="B76" s="1">
        <v>62.1</v>
      </c>
    </row>
    <row r="77" spans="1:2" x14ac:dyDescent="0.3">
      <c r="A77" s="5" t="s">
        <v>240</v>
      </c>
      <c r="B77" s="2">
        <v>62.6</v>
      </c>
    </row>
    <row r="78" spans="1:2" x14ac:dyDescent="0.3">
      <c r="A78" s="5" t="s">
        <v>241</v>
      </c>
      <c r="B78" s="1">
        <v>62.8</v>
      </c>
    </row>
    <row r="79" spans="1:2" x14ac:dyDescent="0.3">
      <c r="A79" s="5" t="s">
        <v>242</v>
      </c>
      <c r="B79" s="2">
        <v>62.8</v>
      </c>
    </row>
    <row r="80" spans="1:2" x14ac:dyDescent="0.3">
      <c r="A80" s="5" t="s">
        <v>243</v>
      </c>
      <c r="B80" s="1">
        <v>62.8</v>
      </c>
    </row>
    <row r="81" spans="1:2" x14ac:dyDescent="0.3">
      <c r="A81" s="5" t="s">
        <v>244</v>
      </c>
      <c r="B81" s="2">
        <v>62.6</v>
      </c>
    </row>
    <row r="82" spans="1:2" x14ac:dyDescent="0.3">
      <c r="A82" s="5" t="s">
        <v>245</v>
      </c>
      <c r="B82" s="4">
        <v>63</v>
      </c>
    </row>
    <row r="83" spans="1:2" x14ac:dyDescent="0.3">
      <c r="A83" s="5" t="s">
        <v>246</v>
      </c>
      <c r="B83" s="2">
        <v>63.3</v>
      </c>
    </row>
    <row r="84" spans="1:2" x14ac:dyDescent="0.3">
      <c r="A84" s="5" t="s">
        <v>247</v>
      </c>
      <c r="B84" s="1">
        <v>63.5</v>
      </c>
    </row>
    <row r="85" spans="1:2" x14ac:dyDescent="0.3">
      <c r="A85" s="5" t="s">
        <v>248</v>
      </c>
      <c r="B85" s="2">
        <v>63.6</v>
      </c>
    </row>
    <row r="86" spans="1:2" x14ac:dyDescent="0.3">
      <c r="A86" s="5" t="s">
        <v>249</v>
      </c>
      <c r="B86" s="1">
        <v>63.5</v>
      </c>
    </row>
    <row r="87" spans="1:2" x14ac:dyDescent="0.3">
      <c r="A87" s="5" t="s">
        <v>250</v>
      </c>
      <c r="B87" s="2">
        <v>63.2</v>
      </c>
    </row>
    <row r="88" spans="1:2" x14ac:dyDescent="0.3">
      <c r="A88" s="5" t="s">
        <v>251</v>
      </c>
      <c r="B88" s="4">
        <v>64</v>
      </c>
    </row>
    <row r="89" spans="1:2" x14ac:dyDescent="0.3">
      <c r="A89" s="5" t="s">
        <v>252</v>
      </c>
      <c r="B89" s="2">
        <v>64.5</v>
      </c>
    </row>
    <row r="90" spans="1:2" x14ac:dyDescent="0.3">
      <c r="A90" s="5" t="s">
        <v>253</v>
      </c>
      <c r="B90" s="1">
        <v>64.599999999999994</v>
      </c>
    </row>
    <row r="91" spans="1:2" x14ac:dyDescent="0.3">
      <c r="A91" s="5" t="s">
        <v>254</v>
      </c>
      <c r="B91" s="2">
        <v>64.599999999999994</v>
      </c>
    </row>
    <row r="92" spans="1:2" x14ac:dyDescent="0.3">
      <c r="A92" s="5" t="s">
        <v>255</v>
      </c>
      <c r="B92" s="1">
        <v>64.599999999999994</v>
      </c>
    </row>
    <row r="93" spans="1:2" x14ac:dyDescent="0.3">
      <c r="A93" s="5" t="s">
        <v>256</v>
      </c>
      <c r="B93" s="2">
        <v>64.3</v>
      </c>
    </row>
    <row r="94" spans="1:2" x14ac:dyDescent="0.3">
      <c r="A94" s="5" t="s">
        <v>257</v>
      </c>
      <c r="B94" s="1">
        <v>64.8</v>
      </c>
    </row>
    <row r="95" spans="1:2" x14ac:dyDescent="0.3">
      <c r="A95" s="5" t="s">
        <v>258</v>
      </c>
      <c r="B95" s="2">
        <v>65.099999999999994</v>
      </c>
    </row>
    <row r="96" spans="1:2" x14ac:dyDescent="0.3">
      <c r="A96" s="5" t="s">
        <v>259</v>
      </c>
      <c r="B96" s="1">
        <v>65.2</v>
      </c>
    </row>
    <row r="97" spans="1:2" x14ac:dyDescent="0.3">
      <c r="A97" s="5" t="s">
        <v>260</v>
      </c>
      <c r="B97" s="2">
        <v>65.2</v>
      </c>
    </row>
    <row r="98" spans="1:2" x14ac:dyDescent="0.3">
      <c r="A98" s="5" t="s">
        <v>261</v>
      </c>
      <c r="B98" s="1">
        <v>64.8</v>
      </c>
    </row>
    <row r="99" spans="1:2" x14ac:dyDescent="0.3">
      <c r="A99" s="5" t="s">
        <v>262</v>
      </c>
      <c r="B99" s="2">
        <v>64.7</v>
      </c>
    </row>
    <row r="100" spans="1:2" x14ac:dyDescent="0.3">
      <c r="A100" s="5" t="s">
        <v>263</v>
      </c>
      <c r="B100" s="1">
        <v>65.5</v>
      </c>
    </row>
    <row r="101" spans="1:2" x14ac:dyDescent="0.3">
      <c r="A101" s="5" t="s">
        <v>264</v>
      </c>
      <c r="B101" s="2">
        <v>65.900000000000006</v>
      </c>
    </row>
    <row r="102" spans="1:2" x14ac:dyDescent="0.3">
      <c r="A102" s="5" t="s">
        <v>265</v>
      </c>
      <c r="B102" s="1">
        <v>66.099999999999994</v>
      </c>
    </row>
    <row r="103" spans="1:2" x14ac:dyDescent="0.3">
      <c r="A103" s="5" t="s">
        <v>266</v>
      </c>
      <c r="B103" s="2">
        <v>66.2</v>
      </c>
    </row>
    <row r="104" spans="1:2" x14ac:dyDescent="0.3">
      <c r="A104" s="5" t="s">
        <v>267</v>
      </c>
      <c r="B104" s="4">
        <v>66</v>
      </c>
    </row>
    <row r="105" spans="1:2" x14ac:dyDescent="0.3">
      <c r="A105" s="5" t="s">
        <v>268</v>
      </c>
      <c r="B105" s="2">
        <v>65.900000000000006</v>
      </c>
    </row>
    <row r="106" spans="1:2" x14ac:dyDescent="0.3">
      <c r="A106" s="5" t="s">
        <v>269</v>
      </c>
      <c r="B106" s="1">
        <v>66.2</v>
      </c>
    </row>
    <row r="107" spans="1:2" x14ac:dyDescent="0.3">
      <c r="A107" s="5" t="s">
        <v>270</v>
      </c>
      <c r="B107" s="2">
        <v>66.400000000000006</v>
      </c>
    </row>
    <row r="108" spans="1:2" x14ac:dyDescent="0.3">
      <c r="A108" s="5" t="s">
        <v>271</v>
      </c>
      <c r="B108" s="1">
        <v>66.599999999999994</v>
      </c>
    </row>
    <row r="109" spans="1:2" x14ac:dyDescent="0.3">
      <c r="A109" s="5" t="s">
        <v>272</v>
      </c>
      <c r="B109" s="2">
        <v>66.8</v>
      </c>
    </row>
    <row r="110" spans="1:2" x14ac:dyDescent="0.3">
      <c r="A110" s="5" t="s">
        <v>273</v>
      </c>
      <c r="B110" s="1">
        <v>66.099999999999994</v>
      </c>
    </row>
    <row r="111" spans="1:2" x14ac:dyDescent="0.3">
      <c r="A111" s="5" t="s">
        <v>274</v>
      </c>
      <c r="B111" s="2">
        <v>66.099999999999994</v>
      </c>
    </row>
    <row r="112" spans="1:2" x14ac:dyDescent="0.3">
      <c r="A112" s="5" t="s">
        <v>275</v>
      </c>
      <c r="B112" s="1">
        <v>66.8</v>
      </c>
    </row>
    <row r="113" spans="1:2" x14ac:dyDescent="0.3">
      <c r="A113" s="5" t="s">
        <v>276</v>
      </c>
      <c r="B113" s="2">
        <v>67.400000000000006</v>
      </c>
    </row>
    <row r="114" spans="1:2" x14ac:dyDescent="0.3">
      <c r="A114" s="5" t="s">
        <v>277</v>
      </c>
      <c r="B114" s="1">
        <v>67.599999999999994</v>
      </c>
    </row>
    <row r="115" spans="1:2" x14ac:dyDescent="0.3">
      <c r="A115" s="5" t="s">
        <v>278</v>
      </c>
      <c r="B115" s="2">
        <v>67.599999999999994</v>
      </c>
    </row>
    <row r="116" spans="1:2" x14ac:dyDescent="0.3">
      <c r="A116" s="5" t="s">
        <v>279</v>
      </c>
      <c r="B116" s="1">
        <v>67.400000000000006</v>
      </c>
    </row>
    <row r="117" spans="1:2" x14ac:dyDescent="0.3">
      <c r="A117" s="5" t="s">
        <v>280</v>
      </c>
      <c r="B117" s="2">
        <v>67.3</v>
      </c>
    </row>
    <row r="118" spans="1:2" x14ac:dyDescent="0.3">
      <c r="A118" s="5" t="s">
        <v>281</v>
      </c>
      <c r="B118" s="1">
        <v>67.7</v>
      </c>
    </row>
    <row r="119" spans="1:2" x14ac:dyDescent="0.3">
      <c r="A119" s="5" t="s">
        <v>282</v>
      </c>
      <c r="B119" s="2">
        <v>68.2</v>
      </c>
    </row>
    <row r="120" spans="1:2" x14ac:dyDescent="0.3">
      <c r="A120" s="5" t="s">
        <v>283</v>
      </c>
      <c r="B120" s="1">
        <v>68.2</v>
      </c>
    </row>
    <row r="121" spans="1:2" x14ac:dyDescent="0.3">
      <c r="A121" s="5" t="s">
        <v>284</v>
      </c>
      <c r="B121" s="2">
        <v>68.2</v>
      </c>
    </row>
    <row r="122" spans="1:2" x14ac:dyDescent="0.3">
      <c r="A122" s="5" t="s">
        <v>285</v>
      </c>
      <c r="B122" s="1">
        <v>67.599999999999994</v>
      </c>
    </row>
    <row r="123" spans="1:2" x14ac:dyDescent="0.3">
      <c r="A123" s="5" t="s">
        <v>286</v>
      </c>
      <c r="B123" s="2">
        <v>67.5</v>
      </c>
    </row>
    <row r="124" spans="1:2" x14ac:dyDescent="0.3">
      <c r="A124" s="5" t="s">
        <v>287</v>
      </c>
      <c r="B124" s="1">
        <v>68.3</v>
      </c>
    </row>
    <row r="125" spans="1:2" x14ac:dyDescent="0.3">
      <c r="A125" s="5" t="s">
        <v>288</v>
      </c>
      <c r="B125" s="2">
        <v>68.900000000000006</v>
      </c>
    </row>
    <row r="126" spans="1:2" x14ac:dyDescent="0.3">
      <c r="A126" s="5" t="s">
        <v>289</v>
      </c>
      <c r="B126" s="1">
        <v>69.099999999999994</v>
      </c>
    </row>
    <row r="127" spans="1:2" x14ac:dyDescent="0.3">
      <c r="A127" s="5" t="s">
        <v>290</v>
      </c>
      <c r="B127" s="2">
        <v>69.2</v>
      </c>
    </row>
    <row r="128" spans="1:2" x14ac:dyDescent="0.3">
      <c r="A128" s="5" t="s">
        <v>291</v>
      </c>
      <c r="B128" s="4">
        <v>69</v>
      </c>
    </row>
    <row r="129" spans="1:2" x14ac:dyDescent="0.3">
      <c r="A129" s="5" t="s">
        <v>292</v>
      </c>
      <c r="B129" s="2">
        <v>68.900000000000006</v>
      </c>
    </row>
    <row r="130" spans="1:2" x14ac:dyDescent="0.3">
      <c r="A130" s="5" t="s">
        <v>293</v>
      </c>
      <c r="B130" s="1">
        <v>69.3</v>
      </c>
    </row>
    <row r="131" spans="1:2" x14ac:dyDescent="0.3">
      <c r="A131" s="5" t="s">
        <v>294</v>
      </c>
      <c r="B131" s="2">
        <v>69.5</v>
      </c>
    </row>
    <row r="132" spans="1:2" x14ac:dyDescent="0.3">
      <c r="A132" s="5" t="s">
        <v>295</v>
      </c>
      <c r="B132" s="1">
        <v>69.5</v>
      </c>
    </row>
    <row r="133" spans="1:2" x14ac:dyDescent="0.3">
      <c r="A133" s="5" t="s">
        <v>296</v>
      </c>
      <c r="B133" s="2">
        <v>69.599999999999994</v>
      </c>
    </row>
    <row r="134" spans="1:2" x14ac:dyDescent="0.3">
      <c r="A134" s="5" t="s">
        <v>297</v>
      </c>
      <c r="B134" s="1">
        <v>68.900000000000006</v>
      </c>
    </row>
    <row r="135" spans="1:2" x14ac:dyDescent="0.3">
      <c r="A135" s="5" t="s">
        <v>298</v>
      </c>
      <c r="B135" s="2">
        <v>68.900000000000006</v>
      </c>
    </row>
    <row r="136" spans="1:2" x14ac:dyDescent="0.3">
      <c r="A136" s="5" t="s">
        <v>299</v>
      </c>
      <c r="B136" s="1">
        <v>69.7</v>
      </c>
    </row>
    <row r="137" spans="1:2" x14ac:dyDescent="0.3">
      <c r="A137" s="5" t="s">
        <v>300</v>
      </c>
      <c r="B137" s="2">
        <v>70.099999999999994</v>
      </c>
    </row>
    <row r="138" spans="1:2" x14ac:dyDescent="0.3">
      <c r="A138" s="5" t="s">
        <v>301</v>
      </c>
      <c r="B138" s="1">
        <v>70.400000000000006</v>
      </c>
    </row>
    <row r="139" spans="1:2" x14ac:dyDescent="0.3">
      <c r="A139" s="5" t="s">
        <v>302</v>
      </c>
      <c r="B139" s="2">
        <v>70.599999999999994</v>
      </c>
    </row>
    <row r="140" spans="1:2" x14ac:dyDescent="0.3">
      <c r="A140" s="5" t="s">
        <v>303</v>
      </c>
      <c r="B140" s="1">
        <v>70.099999999999994</v>
      </c>
    </row>
    <row r="141" spans="1:2" x14ac:dyDescent="0.3">
      <c r="A141" s="5" t="s">
        <v>304</v>
      </c>
      <c r="B141" s="3">
        <v>70</v>
      </c>
    </row>
    <row r="142" spans="1:2" x14ac:dyDescent="0.3">
      <c r="A142" s="5" t="s">
        <v>305</v>
      </c>
      <c r="B142" s="1">
        <v>70.5</v>
      </c>
    </row>
    <row r="143" spans="1:2" x14ac:dyDescent="0.3">
      <c r="A143" s="5" t="s">
        <v>306</v>
      </c>
      <c r="B143" s="2">
        <v>71.099999999999994</v>
      </c>
    </row>
    <row r="144" spans="1:2" x14ac:dyDescent="0.3">
      <c r="A144" s="5" t="s">
        <v>307</v>
      </c>
      <c r="B144" s="1">
        <v>71.3</v>
      </c>
    </row>
    <row r="145" spans="1:2" x14ac:dyDescent="0.3">
      <c r="A145" s="5" t="s">
        <v>308</v>
      </c>
      <c r="B145" s="2">
        <v>71.599999999999994</v>
      </c>
    </row>
    <row r="146" spans="1:2" x14ac:dyDescent="0.3">
      <c r="A146" s="5" t="s">
        <v>309</v>
      </c>
      <c r="B146" s="4">
        <v>71</v>
      </c>
    </row>
    <row r="147" spans="1:2" x14ac:dyDescent="0.3">
      <c r="A147" s="5" t="s">
        <v>310</v>
      </c>
      <c r="B147" s="2">
        <v>71.099999999999994</v>
      </c>
    </row>
    <row r="148" spans="1:2" x14ac:dyDescent="0.3">
      <c r="A148" s="5" t="s">
        <v>311</v>
      </c>
      <c r="B148" s="1">
        <v>72.2</v>
      </c>
    </row>
    <row r="149" spans="1:2" x14ac:dyDescent="0.3">
      <c r="A149" s="5" t="s">
        <v>312</v>
      </c>
      <c r="B149" s="2">
        <v>72.599999999999994</v>
      </c>
    </row>
    <row r="150" spans="1:2" x14ac:dyDescent="0.3">
      <c r="A150" s="5" t="s">
        <v>313</v>
      </c>
      <c r="B150" s="4">
        <v>73</v>
      </c>
    </row>
    <row r="151" spans="1:2" x14ac:dyDescent="0.3">
      <c r="A151" s="5" t="s">
        <v>314</v>
      </c>
      <c r="B151" s="2">
        <v>73.400000000000006</v>
      </c>
    </row>
    <row r="152" spans="1:2" x14ac:dyDescent="0.3">
      <c r="A152" s="5" t="s">
        <v>315</v>
      </c>
      <c r="B152" s="4">
        <v>73</v>
      </c>
    </row>
    <row r="153" spans="1:2" x14ac:dyDescent="0.3">
      <c r="A153" s="5" t="s">
        <v>316</v>
      </c>
      <c r="B153" s="3">
        <v>73</v>
      </c>
    </row>
    <row r="154" spans="1:2" x14ac:dyDescent="0.3">
      <c r="A154" s="5" t="s">
        <v>317</v>
      </c>
      <c r="B154" s="1">
        <v>73.3</v>
      </c>
    </row>
    <row r="155" spans="1:2" x14ac:dyDescent="0.3">
      <c r="A155" s="5" t="s">
        <v>318</v>
      </c>
      <c r="B155" s="2">
        <v>73.599999999999994</v>
      </c>
    </row>
    <row r="156" spans="1:2" x14ac:dyDescent="0.3">
      <c r="A156" s="5" t="s">
        <v>319</v>
      </c>
      <c r="B156" s="1">
        <v>73.3</v>
      </c>
    </row>
    <row r="157" spans="1:2" x14ac:dyDescent="0.3">
      <c r="A157" s="5" t="s">
        <v>320</v>
      </c>
      <c r="B157" s="2">
        <v>73.3</v>
      </c>
    </row>
    <row r="158" spans="1:2" x14ac:dyDescent="0.3">
      <c r="A158" s="5" t="s">
        <v>321</v>
      </c>
      <c r="B158" s="4">
        <v>72</v>
      </c>
    </row>
    <row r="159" spans="1:2" x14ac:dyDescent="0.3">
      <c r="A159" s="5" t="s">
        <v>322</v>
      </c>
      <c r="B159" s="2">
        <v>72.099999999999994</v>
      </c>
    </row>
    <row r="160" spans="1:2" x14ac:dyDescent="0.3">
      <c r="A160" s="5" t="s">
        <v>323</v>
      </c>
      <c r="B160" s="4">
        <v>73</v>
      </c>
    </row>
    <row r="161" spans="1:2" x14ac:dyDescent="0.3">
      <c r="A161" s="5" t="s">
        <v>324</v>
      </c>
      <c r="B161" s="2">
        <v>73.5</v>
      </c>
    </row>
    <row r="162" spans="1:2" x14ac:dyDescent="0.3">
      <c r="A162" s="5" t="s">
        <v>325</v>
      </c>
      <c r="B162" s="1">
        <v>73.7</v>
      </c>
    </row>
    <row r="163" spans="1:2" x14ac:dyDescent="0.3">
      <c r="A163" s="5" t="s">
        <v>326</v>
      </c>
      <c r="B163" s="2">
        <v>73.8</v>
      </c>
    </row>
    <row r="164" spans="1:2" x14ac:dyDescent="0.3">
      <c r="A164" s="5" t="s">
        <v>327</v>
      </c>
      <c r="B164" s="1">
        <v>72.900000000000006</v>
      </c>
    </row>
    <row r="165" spans="1:2" x14ac:dyDescent="0.3">
      <c r="A165" s="5" t="s">
        <v>328</v>
      </c>
      <c r="B165" s="3">
        <v>73</v>
      </c>
    </row>
    <row r="166" spans="1:2" x14ac:dyDescent="0.3">
      <c r="A166" s="5" t="s">
        <v>329</v>
      </c>
      <c r="B166" s="1">
        <v>73.599999999999994</v>
      </c>
    </row>
    <row r="167" spans="1:2" x14ac:dyDescent="0.3">
      <c r="A167" s="5" t="s">
        <v>330</v>
      </c>
      <c r="B167" s="2">
        <v>73.900000000000006</v>
      </c>
    </row>
    <row r="168" spans="1:2" x14ac:dyDescent="0.3">
      <c r="A168" s="5" t="s">
        <v>331</v>
      </c>
      <c r="B168" s="1">
        <v>73.900000000000006</v>
      </c>
    </row>
    <row r="169" spans="1:2" x14ac:dyDescent="0.3">
      <c r="A169" s="5" t="s">
        <v>332</v>
      </c>
      <c r="B169" s="2">
        <v>74.099999999999994</v>
      </c>
    </row>
    <row r="170" spans="1:2" x14ac:dyDescent="0.3">
      <c r="A170" s="5" t="s">
        <v>333</v>
      </c>
      <c r="B170" s="4">
        <v>73</v>
      </c>
    </row>
    <row r="171" spans="1:2" x14ac:dyDescent="0.3">
      <c r="A171" s="5" t="s">
        <v>334</v>
      </c>
      <c r="B171" s="2">
        <v>72.900000000000006</v>
      </c>
    </row>
    <row r="172" spans="1:2" x14ac:dyDescent="0.3">
      <c r="A172" s="5" t="s">
        <v>335</v>
      </c>
      <c r="B172" s="4">
        <v>74</v>
      </c>
    </row>
    <row r="173" spans="1:2" x14ac:dyDescent="0.3">
      <c r="A173" s="5" t="s">
        <v>336</v>
      </c>
      <c r="B173" s="2">
        <v>74.7</v>
      </c>
    </row>
    <row r="174" spans="1:2" x14ac:dyDescent="0.3">
      <c r="A174" s="5" t="s">
        <v>337</v>
      </c>
      <c r="B174" s="1">
        <v>74.8</v>
      </c>
    </row>
    <row r="175" spans="1:2" x14ac:dyDescent="0.3">
      <c r="A175" s="5" t="s">
        <v>338</v>
      </c>
      <c r="B175" s="2">
        <v>74.8</v>
      </c>
    </row>
    <row r="176" spans="1:2" x14ac:dyDescent="0.3">
      <c r="A176" s="5" t="s">
        <v>339</v>
      </c>
      <c r="B176" s="1">
        <v>74.2</v>
      </c>
    </row>
    <row r="177" spans="1:2" x14ac:dyDescent="0.3">
      <c r="A177" s="5" t="s">
        <v>340</v>
      </c>
      <c r="B177" s="2">
        <v>74.3</v>
      </c>
    </row>
    <row r="178" spans="1:2" x14ac:dyDescent="0.3">
      <c r="A178" s="5" t="s">
        <v>341</v>
      </c>
      <c r="B178" s="1">
        <v>74.8</v>
      </c>
    </row>
    <row r="179" spans="1:2" x14ac:dyDescent="0.3">
      <c r="A179" s="5" t="s">
        <v>342</v>
      </c>
      <c r="B179" s="2">
        <v>75.3</v>
      </c>
    </row>
    <row r="180" spans="1:2" x14ac:dyDescent="0.3">
      <c r="A180" s="5" t="s">
        <v>343</v>
      </c>
      <c r="B180" s="1">
        <v>75.3</v>
      </c>
    </row>
    <row r="181" spans="1:2" x14ac:dyDescent="0.3">
      <c r="A181" s="5" t="s">
        <v>344</v>
      </c>
      <c r="B181" s="2">
        <v>75.599999999999994</v>
      </c>
    </row>
    <row r="182" spans="1:2" x14ac:dyDescent="0.3">
      <c r="A182" s="5" t="s">
        <v>345</v>
      </c>
      <c r="B182" s="1">
        <v>74.400000000000006</v>
      </c>
    </row>
    <row r="183" spans="1:2" x14ac:dyDescent="0.3">
      <c r="A183" s="5" t="s">
        <v>346</v>
      </c>
      <c r="B183" s="2">
        <v>74.5</v>
      </c>
    </row>
    <row r="184" spans="1:2" x14ac:dyDescent="0.3">
      <c r="A184" s="5" t="s">
        <v>347</v>
      </c>
      <c r="B184" s="1">
        <v>76.099999999999994</v>
      </c>
    </row>
    <row r="185" spans="1:2" x14ac:dyDescent="0.3">
      <c r="A185" s="5" t="s">
        <v>348</v>
      </c>
      <c r="B185" s="2">
        <v>76.900000000000006</v>
      </c>
    </row>
    <row r="186" spans="1:2" x14ac:dyDescent="0.3">
      <c r="A186" s="5" t="s">
        <v>349</v>
      </c>
      <c r="B186" s="4">
        <v>77</v>
      </c>
    </row>
    <row r="187" spans="1:2" x14ac:dyDescent="0.3">
      <c r="A187" s="5" t="s">
        <v>350</v>
      </c>
      <c r="B187" s="2">
        <v>77.099999999999994</v>
      </c>
    </row>
    <row r="188" spans="1:2" x14ac:dyDescent="0.3">
      <c r="A188" s="5" t="s">
        <v>351</v>
      </c>
      <c r="B188" s="1">
        <v>75.7</v>
      </c>
    </row>
    <row r="189" spans="1:2" x14ac:dyDescent="0.3">
      <c r="A189" s="5" t="s">
        <v>352</v>
      </c>
      <c r="B189" s="3">
        <v>76</v>
      </c>
    </row>
    <row r="190" spans="1:2" x14ac:dyDescent="0.3">
      <c r="A190" s="5" t="s">
        <v>353</v>
      </c>
      <c r="B190" s="1">
        <v>77.5</v>
      </c>
    </row>
    <row r="191" spans="1:2" x14ac:dyDescent="0.3">
      <c r="A191" s="5" t="s">
        <v>354</v>
      </c>
      <c r="B191" s="2">
        <v>78.099999999999994</v>
      </c>
    </row>
    <row r="192" spans="1:2" x14ac:dyDescent="0.3">
      <c r="A192" s="5" t="s">
        <v>355</v>
      </c>
      <c r="B192" s="1">
        <v>78.099999999999994</v>
      </c>
    </row>
    <row r="193" spans="1:2" x14ac:dyDescent="0.3">
      <c r="A193" s="5" t="s">
        <v>356</v>
      </c>
      <c r="B193" s="2">
        <v>78.400000000000006</v>
      </c>
    </row>
    <row r="194" spans="1:2" x14ac:dyDescent="0.3">
      <c r="A194" s="5" t="s">
        <v>357</v>
      </c>
      <c r="B194" s="4">
        <v>77</v>
      </c>
    </row>
    <row r="195" spans="1:2" x14ac:dyDescent="0.3">
      <c r="A195" s="5" t="s">
        <v>358</v>
      </c>
      <c r="B195" s="2">
        <v>77.099999999999994</v>
      </c>
    </row>
    <row r="196" spans="1:2" x14ac:dyDescent="0.3">
      <c r="A196" s="5" t="s">
        <v>359</v>
      </c>
      <c r="B196" s="4">
        <v>79</v>
      </c>
    </row>
    <row r="197" spans="1:2" x14ac:dyDescent="0.3">
      <c r="A197" s="5" t="s">
        <v>360</v>
      </c>
      <c r="B197" s="2">
        <v>79.7</v>
      </c>
    </row>
    <row r="198" spans="1:2" x14ac:dyDescent="0.3">
      <c r="A198" s="5" t="s">
        <v>361</v>
      </c>
      <c r="B198" s="1">
        <v>79.7</v>
      </c>
    </row>
    <row r="199" spans="1:2" x14ac:dyDescent="0.3">
      <c r="A199" s="5" t="s">
        <v>362</v>
      </c>
      <c r="B199" s="2">
        <v>79.900000000000006</v>
      </c>
    </row>
    <row r="200" spans="1:2" x14ac:dyDescent="0.3">
      <c r="A200" s="5" t="s">
        <v>363</v>
      </c>
      <c r="B200" s="1">
        <v>78.5</v>
      </c>
    </row>
    <row r="201" spans="1:2" x14ac:dyDescent="0.3">
      <c r="A201" s="5" t="s">
        <v>364</v>
      </c>
      <c r="B201" s="2">
        <v>78.5</v>
      </c>
    </row>
    <row r="202" spans="1:2" x14ac:dyDescent="0.3">
      <c r="A202" s="5" t="s">
        <v>365</v>
      </c>
      <c r="B202" s="1">
        <v>80.099999999999994</v>
      </c>
    </row>
    <row r="203" spans="1:2" x14ac:dyDescent="0.3">
      <c r="A203" s="5" t="s">
        <v>366</v>
      </c>
      <c r="B203" s="2">
        <v>80.3</v>
      </c>
    </row>
    <row r="204" spans="1:2" x14ac:dyDescent="0.3">
      <c r="A204" s="5" t="s">
        <v>367</v>
      </c>
      <c r="B204" s="1">
        <v>80.099999999999994</v>
      </c>
    </row>
    <row r="205" spans="1:2" x14ac:dyDescent="0.3">
      <c r="A205" s="5" t="s">
        <v>368</v>
      </c>
      <c r="B205" s="2">
        <v>80.400000000000006</v>
      </c>
    </row>
    <row r="206" spans="1:2" x14ac:dyDescent="0.3">
      <c r="A206" s="5" t="s">
        <v>369</v>
      </c>
      <c r="B206" s="1">
        <v>78.8</v>
      </c>
    </row>
    <row r="207" spans="1:2" x14ac:dyDescent="0.3">
      <c r="A207" s="5" t="s">
        <v>370</v>
      </c>
      <c r="B207" s="2">
        <v>78.599999999999994</v>
      </c>
    </row>
    <row r="208" spans="1:2" x14ac:dyDescent="0.3">
      <c r="A208" s="5" t="s">
        <v>371</v>
      </c>
      <c r="B208" s="1">
        <v>80.400000000000006</v>
      </c>
    </row>
    <row r="209" spans="1:2" x14ac:dyDescent="0.3">
      <c r="A209" s="5" t="s">
        <v>372</v>
      </c>
      <c r="B209" s="2">
        <v>80.7</v>
      </c>
    </row>
    <row r="210" spans="1:2" x14ac:dyDescent="0.3">
      <c r="A210" s="5" t="s">
        <v>373</v>
      </c>
      <c r="B210" s="1">
        <v>80.7</v>
      </c>
    </row>
    <row r="211" spans="1:2" x14ac:dyDescent="0.3">
      <c r="A211" s="5" t="s">
        <v>374</v>
      </c>
      <c r="B211" s="2">
        <v>80.900000000000006</v>
      </c>
    </row>
    <row r="212" spans="1:2" x14ac:dyDescent="0.3">
      <c r="A212" s="5" t="s">
        <v>375</v>
      </c>
      <c r="B212" s="1">
        <v>79.400000000000006</v>
      </c>
    </row>
    <row r="213" spans="1:2" x14ac:dyDescent="0.3">
      <c r="A213" s="5" t="s">
        <v>376</v>
      </c>
      <c r="B213" s="2">
        <v>79.400000000000006</v>
      </c>
    </row>
    <row r="214" spans="1:2" x14ac:dyDescent="0.3">
      <c r="A214" s="5" t="s">
        <v>377</v>
      </c>
      <c r="B214" s="1">
        <v>80.900000000000006</v>
      </c>
    </row>
    <row r="215" spans="1:2" x14ac:dyDescent="0.3">
      <c r="A215" s="5" t="s">
        <v>378</v>
      </c>
      <c r="B215" s="2">
        <v>80.900000000000006</v>
      </c>
    </row>
    <row r="216" spans="1:2" x14ac:dyDescent="0.3">
      <c r="A216" s="5" t="s">
        <v>379</v>
      </c>
      <c r="B216" s="1">
        <v>80.599999999999994</v>
      </c>
    </row>
    <row r="217" spans="1:2" x14ac:dyDescent="0.3">
      <c r="A217" s="5" t="s">
        <v>380</v>
      </c>
      <c r="B217" s="2">
        <v>80.900000000000006</v>
      </c>
    </row>
    <row r="218" spans="1:2" x14ac:dyDescent="0.3">
      <c r="A218" s="5" t="s">
        <v>381</v>
      </c>
      <c r="B218" s="1">
        <v>79.2</v>
      </c>
    </row>
    <row r="219" spans="1:2" x14ac:dyDescent="0.3">
      <c r="A219" s="5" t="s">
        <v>382</v>
      </c>
      <c r="B219" s="2">
        <v>78.900000000000006</v>
      </c>
    </row>
    <row r="220" spans="1:2" x14ac:dyDescent="0.3">
      <c r="A220" s="5" t="s">
        <v>383</v>
      </c>
      <c r="B220" s="1">
        <v>80.7</v>
      </c>
    </row>
    <row r="221" spans="1:2" x14ac:dyDescent="0.3">
      <c r="A221" s="5" t="s">
        <v>384</v>
      </c>
      <c r="B221" s="2">
        <v>81.099999999999994</v>
      </c>
    </row>
    <row r="222" spans="1:2" x14ac:dyDescent="0.3">
      <c r="A222" s="5" t="s">
        <v>385</v>
      </c>
      <c r="B222" s="4">
        <v>81</v>
      </c>
    </row>
    <row r="223" spans="1:2" x14ac:dyDescent="0.3">
      <c r="A223" s="5" t="s">
        <v>386</v>
      </c>
      <c r="B223" s="2">
        <v>81.099999999999994</v>
      </c>
    </row>
    <row r="224" spans="1:2" x14ac:dyDescent="0.3">
      <c r="A224" s="5" t="s">
        <v>387</v>
      </c>
      <c r="B224" s="1">
        <v>79.400000000000006</v>
      </c>
    </row>
    <row r="225" spans="1:2" x14ac:dyDescent="0.3">
      <c r="A225" s="5" t="s">
        <v>388</v>
      </c>
      <c r="B225" s="2">
        <v>79.3</v>
      </c>
    </row>
    <row r="226" spans="1:2" x14ac:dyDescent="0.3">
      <c r="A226" s="5" t="s">
        <v>389</v>
      </c>
      <c r="B226" s="1">
        <v>80.8</v>
      </c>
    </row>
    <row r="227" spans="1:2" x14ac:dyDescent="0.3">
      <c r="A227" s="5" t="s">
        <v>390</v>
      </c>
      <c r="B227" s="3">
        <v>81</v>
      </c>
    </row>
    <row r="228" spans="1:2" x14ac:dyDescent="0.3">
      <c r="A228" s="5" t="s">
        <v>391</v>
      </c>
      <c r="B228" s="1">
        <v>80.8</v>
      </c>
    </row>
    <row r="229" spans="1:2" x14ac:dyDescent="0.3">
      <c r="A229" s="5" t="s">
        <v>392</v>
      </c>
      <c r="B229" s="2">
        <v>80.8</v>
      </c>
    </row>
    <row r="230" spans="1:2" x14ac:dyDescent="0.3">
      <c r="A230" s="5" t="s">
        <v>393</v>
      </c>
      <c r="B230" s="1">
        <v>78.900000000000006</v>
      </c>
    </row>
    <row r="231" spans="1:2" x14ac:dyDescent="0.3">
      <c r="A231" s="5" t="s">
        <v>394</v>
      </c>
      <c r="B231" s="3">
        <v>79</v>
      </c>
    </row>
    <row r="232" spans="1:2" x14ac:dyDescent="0.3">
      <c r="A232" s="5" t="s">
        <v>395</v>
      </c>
      <c r="B232" s="1">
        <v>80.7</v>
      </c>
    </row>
    <row r="233" spans="1:2" x14ac:dyDescent="0.3">
      <c r="A233" s="5" t="s">
        <v>396</v>
      </c>
      <c r="B233" s="2">
        <v>81.099999999999994</v>
      </c>
    </row>
    <row r="234" spans="1:2" x14ac:dyDescent="0.3">
      <c r="A234" s="5" t="s">
        <v>397</v>
      </c>
      <c r="B234" s="1">
        <v>81.2</v>
      </c>
    </row>
    <row r="235" spans="1:2" x14ac:dyDescent="0.3">
      <c r="A235" s="5" t="s">
        <v>398</v>
      </c>
      <c r="B235" s="2">
        <v>81.3</v>
      </c>
    </row>
    <row r="236" spans="1:2" x14ac:dyDescent="0.3">
      <c r="A236" s="5" t="s">
        <v>399</v>
      </c>
      <c r="B236" s="1">
        <v>79.7</v>
      </c>
    </row>
    <row r="237" spans="1:2" x14ac:dyDescent="0.3">
      <c r="A237" s="5" t="s">
        <v>400</v>
      </c>
      <c r="B237" s="2">
        <v>79.599999999999994</v>
      </c>
    </row>
    <row r="238" spans="1:2" x14ac:dyDescent="0.3">
      <c r="A238" s="5" t="s">
        <v>401</v>
      </c>
      <c r="B238" s="1">
        <v>80.900000000000006</v>
      </c>
    </row>
    <row r="239" spans="1:2" x14ac:dyDescent="0.3">
      <c r="A239" s="5" t="s">
        <v>402</v>
      </c>
      <c r="B239" s="2">
        <v>81.3</v>
      </c>
    </row>
    <row r="240" spans="1:2" x14ac:dyDescent="0.3">
      <c r="A240" s="5" t="s">
        <v>403</v>
      </c>
      <c r="B240" s="4">
        <v>81</v>
      </c>
    </row>
    <row r="241" spans="1:2" x14ac:dyDescent="0.3">
      <c r="A241" s="5" t="s">
        <v>404</v>
      </c>
      <c r="B241" s="2">
        <v>80.900000000000006</v>
      </c>
    </row>
    <row r="242" spans="1:2" x14ac:dyDescent="0.3">
      <c r="A242" s="5" t="s">
        <v>405</v>
      </c>
      <c r="B242" s="1">
        <v>79.2</v>
      </c>
    </row>
    <row r="243" spans="1:2" x14ac:dyDescent="0.3">
      <c r="A243" s="5" t="s">
        <v>406</v>
      </c>
      <c r="B243" s="2">
        <v>78.8</v>
      </c>
    </row>
    <row r="244" spans="1:2" x14ac:dyDescent="0.3">
      <c r="A244" s="5" t="s">
        <v>407</v>
      </c>
      <c r="B244" s="1">
        <v>80.5</v>
      </c>
    </row>
    <row r="245" spans="1:2" x14ac:dyDescent="0.3">
      <c r="A245" s="5" t="s">
        <v>408</v>
      </c>
      <c r="B245" s="2">
        <v>80.7</v>
      </c>
    </row>
    <row r="246" spans="1:2" x14ac:dyDescent="0.3">
      <c r="A246" s="5" t="s">
        <v>409</v>
      </c>
      <c r="B246" s="1">
        <v>80.900000000000006</v>
      </c>
    </row>
    <row r="247" spans="1:2" x14ac:dyDescent="0.3">
      <c r="A247" s="5" t="s">
        <v>410</v>
      </c>
      <c r="B247" s="2">
        <v>81.099999999999994</v>
      </c>
    </row>
    <row r="248" spans="1:2" x14ac:dyDescent="0.3">
      <c r="A248" s="5" t="s">
        <v>411</v>
      </c>
      <c r="B248" s="1">
        <v>79.599999999999994</v>
      </c>
    </row>
    <row r="249" spans="1:2" x14ac:dyDescent="0.3">
      <c r="A249" s="5" t="s">
        <v>412</v>
      </c>
      <c r="B249" s="2">
        <v>79.5</v>
      </c>
    </row>
    <row r="250" spans="1:2" x14ac:dyDescent="0.3">
      <c r="A250" s="5" t="s">
        <v>413</v>
      </c>
      <c r="B250" s="4">
        <v>81</v>
      </c>
    </row>
    <row r="251" spans="1:2" x14ac:dyDescent="0.3">
      <c r="A251" s="5" t="s">
        <v>414</v>
      </c>
      <c r="B251" s="2">
        <v>81.2</v>
      </c>
    </row>
    <row r="252" spans="1:2" x14ac:dyDescent="0.3">
      <c r="A252" s="5" t="s">
        <v>415</v>
      </c>
      <c r="B252" s="1">
        <v>81.099999999999994</v>
      </c>
    </row>
    <row r="253" spans="1:2" x14ac:dyDescent="0.3">
      <c r="A253" s="5" t="s">
        <v>416</v>
      </c>
      <c r="B253" s="2">
        <v>81.400000000000006</v>
      </c>
    </row>
    <row r="254" spans="1:2" x14ac:dyDescent="0.3">
      <c r="A254" s="5" t="s">
        <v>417</v>
      </c>
      <c r="B254" s="4">
        <v>80</v>
      </c>
    </row>
    <row r="255" spans="1:2" x14ac:dyDescent="0.3">
      <c r="A255" s="5" t="s">
        <v>418</v>
      </c>
      <c r="B255" s="2">
        <v>80.099999999999994</v>
      </c>
    </row>
    <row r="256" spans="1:2" x14ac:dyDescent="0.3">
      <c r="A256" s="5" t="s">
        <v>419</v>
      </c>
      <c r="B256" s="1">
        <v>81.7</v>
      </c>
    </row>
    <row r="257" spans="1:2" x14ac:dyDescent="0.3">
      <c r="A257" s="5" t="s">
        <v>420</v>
      </c>
      <c r="B257" s="2">
        <v>82.3</v>
      </c>
    </row>
    <row r="258" spans="1:2" x14ac:dyDescent="0.3">
      <c r="A258" s="5" t="s">
        <v>421</v>
      </c>
      <c r="B258" s="1">
        <v>82.2</v>
      </c>
    </row>
    <row r="259" spans="1:2" x14ac:dyDescent="0.3">
      <c r="A259" s="5" t="s">
        <v>422</v>
      </c>
      <c r="B259" s="2">
        <v>82.1</v>
      </c>
    </row>
    <row r="260" spans="1:2" x14ac:dyDescent="0.3">
      <c r="A260" s="5" t="s">
        <v>423</v>
      </c>
      <c r="B260" s="1">
        <v>80.5</v>
      </c>
    </row>
    <row r="261" spans="1:2" x14ac:dyDescent="0.3">
      <c r="A261" s="5" t="s">
        <v>424</v>
      </c>
      <c r="B261" s="2">
        <v>80.599999999999994</v>
      </c>
    </row>
    <row r="262" spans="1:2" x14ac:dyDescent="0.3">
      <c r="A262" s="5" t="s">
        <v>425</v>
      </c>
      <c r="B262" s="1">
        <v>82.1</v>
      </c>
    </row>
    <row r="263" spans="1:2" x14ac:dyDescent="0.3">
      <c r="A263" s="5" t="s">
        <v>426</v>
      </c>
      <c r="B263" s="2">
        <v>82.1</v>
      </c>
    </row>
    <row r="264" spans="1:2" x14ac:dyDescent="0.3">
      <c r="A264" s="5" t="s">
        <v>427</v>
      </c>
      <c r="B264" s="1">
        <v>81.900000000000006</v>
      </c>
    </row>
    <row r="265" spans="1:2" x14ac:dyDescent="0.3">
      <c r="A265" s="5" t="s">
        <v>428</v>
      </c>
      <c r="B265" s="2">
        <v>82.2</v>
      </c>
    </row>
    <row r="266" spans="1:2" x14ac:dyDescent="0.3">
      <c r="A266" s="5" t="s">
        <v>429</v>
      </c>
      <c r="B266" s="1">
        <v>80.900000000000006</v>
      </c>
    </row>
    <row r="267" spans="1:2" x14ac:dyDescent="0.3">
      <c r="A267" s="5" t="s">
        <v>430</v>
      </c>
      <c r="B267" s="2">
        <v>80.599999999999994</v>
      </c>
    </row>
    <row r="268" spans="1:2" x14ac:dyDescent="0.3">
      <c r="A268" s="5" t="s">
        <v>431</v>
      </c>
      <c r="B268" s="1">
        <v>82.4</v>
      </c>
    </row>
    <row r="269" spans="1:2" x14ac:dyDescent="0.3">
      <c r="A269" s="5" t="s">
        <v>432</v>
      </c>
      <c r="B269" s="2">
        <v>82.8</v>
      </c>
    </row>
    <row r="270" spans="1:2" x14ac:dyDescent="0.3">
      <c r="A270" s="5" t="s">
        <v>433</v>
      </c>
      <c r="B270" s="4">
        <v>83</v>
      </c>
    </row>
    <row r="271" spans="1:2" x14ac:dyDescent="0.3">
      <c r="A271" s="5" t="s">
        <v>434</v>
      </c>
      <c r="B271" s="2">
        <v>83.2</v>
      </c>
    </row>
    <row r="272" spans="1:2" x14ac:dyDescent="0.3">
      <c r="A272" s="5" t="s">
        <v>435</v>
      </c>
      <c r="B272" s="1">
        <v>82.1</v>
      </c>
    </row>
    <row r="273" spans="1:2" x14ac:dyDescent="0.3">
      <c r="A273" s="5" t="s">
        <v>436</v>
      </c>
      <c r="B273" s="2">
        <v>81.900000000000006</v>
      </c>
    </row>
    <row r="274" spans="1:2" x14ac:dyDescent="0.3">
      <c r="A274" s="5" t="s">
        <v>437</v>
      </c>
      <c r="B274" s="1">
        <v>83.3</v>
      </c>
    </row>
    <row r="275" spans="1:2" x14ac:dyDescent="0.3">
      <c r="A275" s="5" t="s">
        <v>438</v>
      </c>
      <c r="B275" s="2">
        <v>83.4</v>
      </c>
    </row>
    <row r="276" spans="1:2" x14ac:dyDescent="0.3">
      <c r="A276" s="5" t="s">
        <v>439</v>
      </c>
      <c r="B276" s="1">
        <v>83.2</v>
      </c>
    </row>
    <row r="277" spans="1:2" x14ac:dyDescent="0.3">
      <c r="A277" s="5" t="s">
        <v>440</v>
      </c>
      <c r="B277" s="2">
        <v>83.1</v>
      </c>
    </row>
    <row r="278" spans="1:2" x14ac:dyDescent="0.3">
      <c r="A278" s="5" t="s">
        <v>441</v>
      </c>
      <c r="B278" s="1">
        <v>81.7</v>
      </c>
    </row>
    <row r="279" spans="1:2" x14ac:dyDescent="0.3">
      <c r="A279" s="5" t="s">
        <v>442</v>
      </c>
      <c r="B279" s="2">
        <v>81.5</v>
      </c>
    </row>
    <row r="280" spans="1:2" x14ac:dyDescent="0.3">
      <c r="A280" s="5" t="s">
        <v>443</v>
      </c>
      <c r="B280" s="1">
        <v>83.3</v>
      </c>
    </row>
    <row r="281" spans="1:2" x14ac:dyDescent="0.3">
      <c r="A281" s="5" t="s">
        <v>444</v>
      </c>
      <c r="B281" s="2">
        <v>83.7</v>
      </c>
    </row>
    <row r="282" spans="1:2" x14ac:dyDescent="0.3">
      <c r="A282" s="5" t="s">
        <v>445</v>
      </c>
      <c r="B282" s="1">
        <v>83.8</v>
      </c>
    </row>
    <row r="283" spans="1:2" x14ac:dyDescent="0.3">
      <c r="A283" s="5" t="s">
        <v>446</v>
      </c>
      <c r="B283" s="2">
        <v>83.8</v>
      </c>
    </row>
    <row r="284" spans="1:2" x14ac:dyDescent="0.3">
      <c r="A284" s="5" t="s">
        <v>447</v>
      </c>
      <c r="B284" s="1">
        <v>82.3</v>
      </c>
    </row>
    <row r="285" spans="1:2" x14ac:dyDescent="0.3">
      <c r="A285" s="5" t="s">
        <v>448</v>
      </c>
      <c r="B285" s="2">
        <v>82.3</v>
      </c>
    </row>
    <row r="286" spans="1:2" x14ac:dyDescent="0.3">
      <c r="A286" s="5" t="s">
        <v>449</v>
      </c>
      <c r="B286" s="1">
        <v>83.5</v>
      </c>
    </row>
    <row r="287" spans="1:2" x14ac:dyDescent="0.3">
      <c r="A287" s="5" t="s">
        <v>450</v>
      </c>
      <c r="B287" s="2">
        <v>83.6</v>
      </c>
    </row>
    <row r="288" spans="1:2" x14ac:dyDescent="0.3">
      <c r="A288" s="5" t="s">
        <v>451</v>
      </c>
      <c r="B288" s="1">
        <v>83.4</v>
      </c>
    </row>
    <row r="289" spans="1:2" x14ac:dyDescent="0.3">
      <c r="A289" s="5" t="s">
        <v>452</v>
      </c>
      <c r="B289" s="2">
        <v>83.5</v>
      </c>
    </row>
    <row r="290" spans="1:2" x14ac:dyDescent="0.3">
      <c r="A290" s="5" t="s">
        <v>453</v>
      </c>
      <c r="B290" s="4">
        <v>82</v>
      </c>
    </row>
    <row r="291" spans="1:2" x14ac:dyDescent="0.3">
      <c r="A291" s="5" t="s">
        <v>454</v>
      </c>
      <c r="B291" s="2">
        <v>81.599999999999994</v>
      </c>
    </row>
    <row r="292" spans="1:2" x14ac:dyDescent="0.3">
      <c r="A292" s="5" t="s">
        <v>455</v>
      </c>
      <c r="B292" s="1">
        <v>83.4</v>
      </c>
    </row>
    <row r="293" spans="1:2" x14ac:dyDescent="0.3">
      <c r="A293" s="5" t="s">
        <v>456</v>
      </c>
      <c r="B293" s="2">
        <v>83.8</v>
      </c>
    </row>
    <row r="294" spans="1:2" x14ac:dyDescent="0.3">
      <c r="A294" s="5" t="s">
        <v>457</v>
      </c>
      <c r="B294" s="1">
        <v>83.5</v>
      </c>
    </row>
    <row r="295" spans="1:2" x14ac:dyDescent="0.3">
      <c r="A295" s="5" t="s">
        <v>458</v>
      </c>
      <c r="B295" s="2">
        <v>83.5</v>
      </c>
    </row>
    <row r="296" spans="1:2" x14ac:dyDescent="0.3">
      <c r="A296" s="5" t="s">
        <v>459</v>
      </c>
      <c r="B296" s="1">
        <v>82.9</v>
      </c>
    </row>
    <row r="297" spans="1:2" x14ac:dyDescent="0.3">
      <c r="A297" s="5" t="s">
        <v>460</v>
      </c>
      <c r="B297" s="2">
        <v>81.900000000000006</v>
      </c>
    </row>
    <row r="298" spans="1:2" x14ac:dyDescent="0.3">
      <c r="A298" s="5" t="s">
        <v>461</v>
      </c>
      <c r="B298" s="1">
        <v>82.6</v>
      </c>
    </row>
    <row r="299" spans="1:2" x14ac:dyDescent="0.3">
      <c r="A299" s="5" t="s">
        <v>462</v>
      </c>
      <c r="B299" s="2">
        <v>83.1</v>
      </c>
    </row>
    <row r="300" spans="1:2" x14ac:dyDescent="0.3">
      <c r="A300" s="5" t="s">
        <v>463</v>
      </c>
      <c r="B300" s="1">
        <v>83.1</v>
      </c>
    </row>
    <row r="301" spans="1:2" x14ac:dyDescent="0.3">
      <c r="A301" s="5" t="s">
        <v>464</v>
      </c>
      <c r="B301" s="2">
        <v>83.3</v>
      </c>
    </row>
    <row r="302" spans="1:2" x14ac:dyDescent="0.3">
      <c r="A302" s="5" t="s">
        <v>465</v>
      </c>
      <c r="B302" s="1">
        <v>82.6</v>
      </c>
    </row>
    <row r="303" spans="1:2" x14ac:dyDescent="0.3">
      <c r="A303" s="5" t="s">
        <v>466</v>
      </c>
      <c r="B303" s="2">
        <v>82.4</v>
      </c>
    </row>
    <row r="304" spans="1:2" x14ac:dyDescent="0.3">
      <c r="A304" s="5" t="s">
        <v>467</v>
      </c>
      <c r="B304" s="1">
        <v>83.8</v>
      </c>
    </row>
    <row r="305" spans="1:2" x14ac:dyDescent="0.3">
      <c r="A305" s="5" t="s">
        <v>468</v>
      </c>
      <c r="B305" s="2">
        <v>84.5</v>
      </c>
    </row>
    <row r="306" spans="1:2" x14ac:dyDescent="0.3">
      <c r="A306" s="5" t="s">
        <v>469</v>
      </c>
      <c r="B306" s="1">
        <v>84.5</v>
      </c>
    </row>
    <row r="307" spans="1:2" x14ac:dyDescent="0.3">
      <c r="A307" s="5" t="s">
        <v>470</v>
      </c>
      <c r="B307" s="2">
        <v>84.6</v>
      </c>
    </row>
    <row r="308" spans="1:2" x14ac:dyDescent="0.3">
      <c r="A308" s="5" t="s">
        <v>471</v>
      </c>
      <c r="B308" s="1">
        <v>83.8</v>
      </c>
    </row>
    <row r="309" spans="1:2" x14ac:dyDescent="0.3">
      <c r="A309" s="5" t="s">
        <v>472</v>
      </c>
      <c r="B309" s="2">
        <v>83.9</v>
      </c>
    </row>
    <row r="310" spans="1:2" x14ac:dyDescent="0.3">
      <c r="A310" s="5" t="s">
        <v>473</v>
      </c>
      <c r="B310" s="4">
        <v>85</v>
      </c>
    </row>
    <row r="311" spans="1:2" x14ac:dyDescent="0.3">
      <c r="A311" s="5" t="s">
        <v>474</v>
      </c>
      <c r="B311" s="2">
        <v>85.8</v>
      </c>
    </row>
    <row r="312" spans="1:2" x14ac:dyDescent="0.3">
      <c r="A312" s="5" t="s">
        <v>475</v>
      </c>
      <c r="B312" s="1">
        <v>86.4</v>
      </c>
    </row>
    <row r="313" spans="1:2" x14ac:dyDescent="0.3">
      <c r="A313" s="5" t="s">
        <v>476</v>
      </c>
      <c r="B313" s="2">
        <v>86.8</v>
      </c>
    </row>
    <row r="314" spans="1:2" x14ac:dyDescent="0.3">
      <c r="A314" s="5" t="s">
        <v>477</v>
      </c>
      <c r="B314" s="1">
        <v>86.7</v>
      </c>
    </row>
    <row r="315" spans="1:2" x14ac:dyDescent="0.3">
      <c r="A315" s="5" t="s">
        <v>478</v>
      </c>
      <c r="B315" s="2">
        <v>87.5</v>
      </c>
    </row>
    <row r="316" spans="1:2" x14ac:dyDescent="0.3">
      <c r="A316" s="5" t="s">
        <v>479</v>
      </c>
      <c r="B316" s="1">
        <v>89.6</v>
      </c>
    </row>
    <row r="317" spans="1:2" x14ac:dyDescent="0.3">
      <c r="A317" s="5" t="s">
        <v>480</v>
      </c>
      <c r="B317" s="2">
        <v>89.9</v>
      </c>
    </row>
    <row r="318" spans="1:2" x14ac:dyDescent="0.3">
      <c r="A318" s="5" t="s">
        <v>481</v>
      </c>
      <c r="B318" s="1">
        <v>90.7</v>
      </c>
    </row>
    <row r="319" spans="1:2" x14ac:dyDescent="0.3">
      <c r="A319" s="5" t="s">
        <v>482</v>
      </c>
      <c r="B319" s="2">
        <v>91.8</v>
      </c>
    </row>
    <row r="320" spans="1:2" x14ac:dyDescent="0.3">
      <c r="A320" s="5" t="s">
        <v>483</v>
      </c>
      <c r="B320" s="1">
        <v>90.8</v>
      </c>
    </row>
    <row r="321" spans="1:2" x14ac:dyDescent="0.3">
      <c r="A321" s="5" t="s">
        <v>484</v>
      </c>
      <c r="B321" s="2">
        <v>91.5</v>
      </c>
    </row>
    <row r="322" spans="1:2" x14ac:dyDescent="0.3">
      <c r="A322" s="5" t="s">
        <v>485</v>
      </c>
      <c r="B322" s="1">
        <v>93.1</v>
      </c>
    </row>
    <row r="323" spans="1:2" x14ac:dyDescent="0.3">
      <c r="A323" s="5" t="s">
        <v>486</v>
      </c>
      <c r="B323" s="2">
        <v>96.6</v>
      </c>
    </row>
    <row r="324" spans="1:2" x14ac:dyDescent="0.3">
      <c r="A324" s="5" t="s">
        <v>487</v>
      </c>
      <c r="B324" s="1">
        <v>97.2</v>
      </c>
    </row>
    <row r="325" spans="1:2" x14ac:dyDescent="0.3">
      <c r="A325" s="5" t="s">
        <v>488</v>
      </c>
      <c r="B325" s="2">
        <v>97.4</v>
      </c>
    </row>
    <row r="326" spans="1:2" x14ac:dyDescent="0.3">
      <c r="A326" s="5" t="s">
        <v>489</v>
      </c>
      <c r="B326" s="4">
        <v>96</v>
      </c>
    </row>
    <row r="327" spans="1:2" x14ac:dyDescent="0.3">
      <c r="A327" s="5" t="s">
        <v>490</v>
      </c>
      <c r="B327" s="2">
        <v>96.1</v>
      </c>
    </row>
    <row r="328" spans="1:2" x14ac:dyDescent="0.3">
      <c r="A328" s="5" t="s">
        <v>491</v>
      </c>
      <c r="B328" s="1">
        <v>96.8</v>
      </c>
    </row>
    <row r="329" spans="1:2" x14ac:dyDescent="0.3">
      <c r="A329" s="5" t="s">
        <v>492</v>
      </c>
      <c r="B329" s="2">
        <v>97.6</v>
      </c>
    </row>
    <row r="330" spans="1:2" x14ac:dyDescent="0.3">
      <c r="A330" s="5" t="s">
        <v>493</v>
      </c>
      <c r="B330" s="4">
        <v>98</v>
      </c>
    </row>
    <row r="331" spans="1:2" x14ac:dyDescent="0.3">
      <c r="A331" s="5" t="s">
        <v>494</v>
      </c>
      <c r="B331" s="3">
        <v>98</v>
      </c>
    </row>
    <row r="332" spans="1:2" x14ac:dyDescent="0.3">
      <c r="A332" s="5" t="s">
        <v>495</v>
      </c>
      <c r="B332" s="1">
        <v>96.5</v>
      </c>
    </row>
    <row r="333" spans="1:2" x14ac:dyDescent="0.3">
      <c r="A333" s="5" t="s">
        <v>496</v>
      </c>
      <c r="B333" s="2">
        <v>96.6</v>
      </c>
    </row>
    <row r="334" spans="1:2" x14ac:dyDescent="0.3">
      <c r="A334" s="5" t="s">
        <v>497</v>
      </c>
      <c r="B334" s="1">
        <v>98.3</v>
      </c>
    </row>
    <row r="335" spans="1:2" x14ac:dyDescent="0.3">
      <c r="A335" s="5" t="s">
        <v>498</v>
      </c>
      <c r="B335" s="2">
        <v>98.3</v>
      </c>
    </row>
    <row r="336" spans="1:2" x14ac:dyDescent="0.3">
      <c r="A336" s="5" t="s">
        <v>499</v>
      </c>
      <c r="B336" s="1">
        <v>97.8</v>
      </c>
    </row>
    <row r="337" spans="1:2" x14ac:dyDescent="0.3">
      <c r="A337" s="5" t="s">
        <v>500</v>
      </c>
      <c r="B337" s="3">
        <v>98</v>
      </c>
    </row>
    <row r="338" spans="1:2" x14ac:dyDescent="0.3">
      <c r="A338" s="5" t="s">
        <v>501</v>
      </c>
      <c r="B338" s="1">
        <v>96.9</v>
      </c>
    </row>
    <row r="339" spans="1:2" x14ac:dyDescent="0.3">
      <c r="A339" s="5" t="s">
        <v>502</v>
      </c>
      <c r="B339" s="2">
        <v>96.9</v>
      </c>
    </row>
    <row r="340" spans="1:2" x14ac:dyDescent="0.3">
      <c r="A340" s="5" t="s">
        <v>503</v>
      </c>
      <c r="B340" s="4">
        <v>98</v>
      </c>
    </row>
    <row r="341" spans="1:2" x14ac:dyDescent="0.3">
      <c r="A341" s="5" t="s">
        <v>504</v>
      </c>
      <c r="B341" s="2">
        <v>98.5</v>
      </c>
    </row>
    <row r="342" spans="1:2" x14ac:dyDescent="0.3">
      <c r="A342" s="5" t="s">
        <v>505</v>
      </c>
      <c r="B342" s="1">
        <v>98.7</v>
      </c>
    </row>
    <row r="343" spans="1:2" x14ac:dyDescent="0.3">
      <c r="A343" s="5" t="s">
        <v>506</v>
      </c>
      <c r="B343" s="2">
        <v>98.9</v>
      </c>
    </row>
    <row r="344" spans="1:2" x14ac:dyDescent="0.3">
      <c r="A344" s="5" t="s">
        <v>507</v>
      </c>
      <c r="B344" s="4">
        <v>98</v>
      </c>
    </row>
    <row r="345" spans="1:2" x14ac:dyDescent="0.3">
      <c r="A345" s="5" t="s">
        <v>508</v>
      </c>
      <c r="B345" s="2">
        <v>97.9</v>
      </c>
    </row>
    <row r="346" spans="1:2" x14ac:dyDescent="0.3">
      <c r="A346" s="5" t="s">
        <v>509</v>
      </c>
      <c r="B346" s="4">
        <v>99</v>
      </c>
    </row>
    <row r="347" spans="1:2" x14ac:dyDescent="0.3">
      <c r="A347" s="5" t="s">
        <v>510</v>
      </c>
      <c r="B347" s="2">
        <v>99.3</v>
      </c>
    </row>
    <row r="348" spans="1:2" x14ac:dyDescent="0.3">
      <c r="A348" s="5" t="s">
        <v>511</v>
      </c>
      <c r="B348" s="1">
        <v>99.2</v>
      </c>
    </row>
    <row r="349" spans="1:2" x14ac:dyDescent="0.3">
      <c r="A349" s="5" t="s">
        <v>512</v>
      </c>
      <c r="B349" s="2">
        <v>99.3</v>
      </c>
    </row>
    <row r="350" spans="1:2" x14ac:dyDescent="0.3">
      <c r="A350" s="5" t="s">
        <v>513</v>
      </c>
      <c r="B350" s="1">
        <v>98.5</v>
      </c>
    </row>
    <row r="351" spans="1:2" x14ac:dyDescent="0.3">
      <c r="A351" s="5" t="s">
        <v>514</v>
      </c>
      <c r="B351" s="2">
        <v>98.5</v>
      </c>
    </row>
    <row r="352" spans="1:2" x14ac:dyDescent="0.3">
      <c r="A352" s="5" t="s">
        <v>515</v>
      </c>
      <c r="B352" s="1">
        <v>100.1</v>
      </c>
    </row>
    <row r="353" spans="1:2" x14ac:dyDescent="0.3">
      <c r="A353" s="5" t="s">
        <v>516</v>
      </c>
      <c r="B353" s="2">
        <v>100.5</v>
      </c>
    </row>
    <row r="354" spans="1:2" x14ac:dyDescent="0.3">
      <c r="A354" s="5" t="s">
        <v>517</v>
      </c>
      <c r="B354" s="1">
        <v>100.4</v>
      </c>
    </row>
    <row r="355" spans="1:2" x14ac:dyDescent="0.3">
      <c r="A355" s="5" t="s">
        <v>518</v>
      </c>
      <c r="B355" s="2">
        <v>100.6</v>
      </c>
    </row>
    <row r="356" spans="1:2" x14ac:dyDescent="0.3">
      <c r="A356" s="5" t="s">
        <v>519</v>
      </c>
      <c r="B356" s="1">
        <v>99.7</v>
      </c>
    </row>
    <row r="357" spans="1:2" x14ac:dyDescent="0.3">
      <c r="A357" s="5" t="s">
        <v>520</v>
      </c>
      <c r="B357" s="2">
        <v>99.5</v>
      </c>
    </row>
    <row r="358" spans="1:2" x14ac:dyDescent="0.3">
      <c r="A358" s="5" t="s">
        <v>521</v>
      </c>
      <c r="B358" s="1">
        <v>100.7</v>
      </c>
    </row>
    <row r="359" spans="1:2" x14ac:dyDescent="0.3">
      <c r="A359" s="5" t="s">
        <v>522</v>
      </c>
      <c r="B359" s="2">
        <v>100.6</v>
      </c>
    </row>
    <row r="360" spans="1:2" x14ac:dyDescent="0.3">
      <c r="A360" s="5" t="s">
        <v>523</v>
      </c>
      <c r="B360" s="1">
        <v>100.3</v>
      </c>
    </row>
    <row r="361" spans="1:2" x14ac:dyDescent="0.3">
      <c r="A361" s="5" t="s">
        <v>524</v>
      </c>
      <c r="B361" s="2">
        <v>100.5</v>
      </c>
    </row>
    <row r="362" spans="1:2" x14ac:dyDescent="0.3">
      <c r="A362" s="5" t="s">
        <v>525</v>
      </c>
      <c r="B362" s="1">
        <v>99.5</v>
      </c>
    </row>
    <row r="363" spans="1:2" x14ac:dyDescent="0.3">
      <c r="A363" s="5" t="s">
        <v>526</v>
      </c>
      <c r="B363" s="3">
        <v>100</v>
      </c>
    </row>
    <row r="364" spans="1:2" x14ac:dyDescent="0.3">
      <c r="A364" s="5" t="s">
        <v>527</v>
      </c>
      <c r="B364" s="1">
        <v>101.6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6"/>
  <sheetViews>
    <sheetView topLeftCell="A113" workbookViewId="0">
      <selection activeCell="C135" sqref="C135"/>
    </sheetView>
  </sheetViews>
  <sheetFormatPr defaultRowHeight="14.4" x14ac:dyDescent="0.3"/>
  <sheetData>
    <row r="1" spans="1:2" x14ac:dyDescent="0.3">
      <c r="A1" s="10"/>
      <c r="B1" s="11" t="s">
        <v>528</v>
      </c>
    </row>
    <row r="2" spans="1:2" x14ac:dyDescent="0.3">
      <c r="A2" s="12">
        <v>31078</v>
      </c>
      <c r="B2" s="13">
        <v>85.3</v>
      </c>
    </row>
    <row r="3" spans="1:2" x14ac:dyDescent="0.3">
      <c r="A3" s="12">
        <v>31106</v>
      </c>
      <c r="B3" s="13">
        <v>90.2</v>
      </c>
    </row>
    <row r="4" spans="1:2" x14ac:dyDescent="0.3">
      <c r="A4" s="12">
        <v>31137</v>
      </c>
      <c r="B4" s="13">
        <v>81.400000000000006</v>
      </c>
    </row>
    <row r="5" spans="1:2" x14ac:dyDescent="0.3">
      <c r="A5" s="12">
        <v>31167</v>
      </c>
      <c r="B5" s="13">
        <v>84.7</v>
      </c>
    </row>
    <row r="6" spans="1:2" x14ac:dyDescent="0.3">
      <c r="A6" s="12">
        <v>31198</v>
      </c>
      <c r="B6" s="13">
        <v>88.2</v>
      </c>
    </row>
    <row r="7" spans="1:2" x14ac:dyDescent="0.3">
      <c r="A7" s="12">
        <v>31228</v>
      </c>
      <c r="B7" s="13">
        <v>86.5</v>
      </c>
    </row>
    <row r="8" spans="1:2" x14ac:dyDescent="0.3">
      <c r="A8" s="12">
        <v>31259</v>
      </c>
      <c r="B8" s="13">
        <v>91.7</v>
      </c>
    </row>
    <row r="9" spans="1:2" x14ac:dyDescent="0.3">
      <c r="A9" s="12">
        <v>31290</v>
      </c>
      <c r="B9" s="13">
        <v>84.3</v>
      </c>
    </row>
    <row r="10" spans="1:2" x14ac:dyDescent="0.3">
      <c r="A10" s="12">
        <v>31320</v>
      </c>
      <c r="B10" s="13">
        <v>93.8</v>
      </c>
    </row>
    <row r="11" spans="1:2" x14ac:dyDescent="0.3">
      <c r="A11" s="12">
        <v>31351</v>
      </c>
      <c r="B11" s="13">
        <v>86.7</v>
      </c>
    </row>
    <row r="12" spans="1:2" x14ac:dyDescent="0.3">
      <c r="A12" s="12">
        <v>31381</v>
      </c>
      <c r="B12" s="13">
        <v>86.7</v>
      </c>
    </row>
    <row r="13" spans="1:2" x14ac:dyDescent="0.3">
      <c r="A13" s="12">
        <v>31412</v>
      </c>
      <c r="B13" s="13">
        <v>82.3</v>
      </c>
    </row>
    <row r="14" spans="1:2" x14ac:dyDescent="0.3">
      <c r="A14" s="12">
        <v>31443</v>
      </c>
      <c r="B14" s="13">
        <v>85.9</v>
      </c>
    </row>
    <row r="15" spans="1:2" x14ac:dyDescent="0.3">
      <c r="A15" s="12">
        <v>31471</v>
      </c>
      <c r="B15" s="13">
        <v>87.1</v>
      </c>
    </row>
    <row r="16" spans="1:2" x14ac:dyDescent="0.3">
      <c r="A16" s="12">
        <v>31502</v>
      </c>
      <c r="B16" s="13">
        <v>91.1</v>
      </c>
    </row>
    <row r="17" spans="1:2" x14ac:dyDescent="0.3">
      <c r="A17" s="12">
        <v>31532</v>
      </c>
      <c r="B17" s="13">
        <v>88</v>
      </c>
    </row>
    <row r="18" spans="1:2" x14ac:dyDescent="0.3">
      <c r="A18" s="12">
        <v>31563</v>
      </c>
      <c r="B18" s="13">
        <v>89.7</v>
      </c>
    </row>
    <row r="19" spans="1:2" x14ac:dyDescent="0.3">
      <c r="A19" s="12">
        <v>31593</v>
      </c>
      <c r="B19" s="13">
        <v>96.7</v>
      </c>
    </row>
    <row r="20" spans="1:2" x14ac:dyDescent="0.3">
      <c r="A20" s="12">
        <v>31624</v>
      </c>
      <c r="B20" s="13">
        <v>97.4</v>
      </c>
    </row>
    <row r="21" spans="1:2" x14ac:dyDescent="0.3">
      <c r="A21" s="12">
        <v>31655</v>
      </c>
      <c r="B21" s="13">
        <v>100</v>
      </c>
    </row>
    <row r="22" spans="1:2" x14ac:dyDescent="0.3">
      <c r="A22" s="12">
        <v>31685</v>
      </c>
      <c r="B22" s="13">
        <v>98.7</v>
      </c>
    </row>
    <row r="23" spans="1:2" x14ac:dyDescent="0.3">
      <c r="A23" s="12">
        <v>31716</v>
      </c>
      <c r="B23" s="13">
        <v>99.4</v>
      </c>
    </row>
    <row r="24" spans="1:2" x14ac:dyDescent="0.3">
      <c r="A24" s="12">
        <v>31746</v>
      </c>
      <c r="B24" s="13">
        <v>99.5</v>
      </c>
    </row>
    <row r="25" spans="1:2" x14ac:dyDescent="0.3">
      <c r="A25" s="12">
        <v>31777</v>
      </c>
      <c r="B25" s="13">
        <v>104.5</v>
      </c>
    </row>
    <row r="26" spans="1:2" x14ac:dyDescent="0.3">
      <c r="A26" s="12">
        <v>31808</v>
      </c>
      <c r="B26" s="13">
        <v>102.7</v>
      </c>
    </row>
    <row r="27" spans="1:2" x14ac:dyDescent="0.3">
      <c r="A27" s="12">
        <v>31836</v>
      </c>
      <c r="B27" s="13">
        <v>98.1</v>
      </c>
    </row>
    <row r="28" spans="1:2" x14ac:dyDescent="0.3">
      <c r="A28" s="12">
        <v>31867</v>
      </c>
      <c r="B28" s="13">
        <v>100.5</v>
      </c>
    </row>
    <row r="29" spans="1:2" x14ac:dyDescent="0.3">
      <c r="A29" s="12">
        <v>31897</v>
      </c>
      <c r="B29" s="13">
        <v>95.9</v>
      </c>
    </row>
    <row r="30" spans="1:2" x14ac:dyDescent="0.3">
      <c r="A30" s="12">
        <v>31928</v>
      </c>
      <c r="B30" s="13">
        <v>106.1</v>
      </c>
    </row>
    <row r="31" spans="1:2" x14ac:dyDescent="0.3">
      <c r="A31" s="12">
        <v>31958</v>
      </c>
      <c r="B31" s="13">
        <v>104.9</v>
      </c>
    </row>
    <row r="32" spans="1:2" x14ac:dyDescent="0.3">
      <c r="A32" s="12">
        <v>31989</v>
      </c>
      <c r="B32" s="13">
        <v>104.2</v>
      </c>
    </row>
    <row r="33" spans="1:2" x14ac:dyDescent="0.3">
      <c r="A33" s="12">
        <v>32020</v>
      </c>
      <c r="B33" s="13">
        <v>108.7</v>
      </c>
    </row>
    <row r="34" spans="1:2" x14ac:dyDescent="0.3">
      <c r="A34" s="12">
        <v>32050</v>
      </c>
      <c r="B34" s="13">
        <v>108.3</v>
      </c>
    </row>
    <row r="35" spans="1:2" x14ac:dyDescent="0.3">
      <c r="A35" s="12">
        <v>32081</v>
      </c>
      <c r="B35" s="13">
        <v>107.5</v>
      </c>
    </row>
    <row r="36" spans="1:2" x14ac:dyDescent="0.3">
      <c r="A36" s="12">
        <v>32111</v>
      </c>
      <c r="B36" s="13">
        <v>103.5</v>
      </c>
    </row>
    <row r="37" spans="1:2" x14ac:dyDescent="0.3">
      <c r="A37" s="12">
        <v>32142</v>
      </c>
      <c r="B37" s="13">
        <v>108.7</v>
      </c>
    </row>
    <row r="38" spans="1:2" x14ac:dyDescent="0.3">
      <c r="A38" s="12">
        <v>32173</v>
      </c>
      <c r="B38" s="13">
        <v>111</v>
      </c>
    </row>
    <row r="39" spans="1:2" x14ac:dyDescent="0.3">
      <c r="A39" s="12">
        <v>32202</v>
      </c>
      <c r="B39" s="13">
        <v>111.1</v>
      </c>
    </row>
    <row r="40" spans="1:2" x14ac:dyDescent="0.3">
      <c r="A40" s="12">
        <v>32233</v>
      </c>
      <c r="B40" s="13">
        <v>112.9</v>
      </c>
    </row>
    <row r="41" spans="1:2" x14ac:dyDescent="0.3">
      <c r="A41" s="12">
        <v>32263</v>
      </c>
      <c r="B41" s="13">
        <v>109</v>
      </c>
    </row>
    <row r="42" spans="1:2" x14ac:dyDescent="0.3">
      <c r="A42" s="12">
        <v>32294</v>
      </c>
      <c r="B42" s="13">
        <v>112.9</v>
      </c>
    </row>
    <row r="43" spans="1:2" x14ac:dyDescent="0.3">
      <c r="A43" s="12">
        <v>32324</v>
      </c>
      <c r="B43" s="13">
        <v>115.7</v>
      </c>
    </row>
    <row r="44" spans="1:2" x14ac:dyDescent="0.3">
      <c r="A44" s="12">
        <v>32355</v>
      </c>
      <c r="B44" s="13">
        <v>112.9</v>
      </c>
    </row>
    <row r="45" spans="1:2" x14ac:dyDescent="0.3">
      <c r="A45" s="12">
        <v>32386</v>
      </c>
      <c r="B45" s="13">
        <v>112.9</v>
      </c>
    </row>
    <row r="46" spans="1:2" x14ac:dyDescent="0.3">
      <c r="A46" s="12">
        <v>32416</v>
      </c>
      <c r="B46" s="13">
        <v>119.9</v>
      </c>
    </row>
    <row r="47" spans="1:2" x14ac:dyDescent="0.3">
      <c r="A47" s="12">
        <v>32447</v>
      </c>
      <c r="B47" s="13">
        <v>123.7</v>
      </c>
    </row>
    <row r="48" spans="1:2" x14ac:dyDescent="0.3">
      <c r="A48" s="12">
        <v>32477</v>
      </c>
      <c r="B48" s="13">
        <v>123.5</v>
      </c>
    </row>
    <row r="49" spans="1:2" x14ac:dyDescent="0.3">
      <c r="A49" s="12">
        <v>32508</v>
      </c>
      <c r="B49" s="13">
        <v>119.4</v>
      </c>
    </row>
    <row r="50" spans="1:2" x14ac:dyDescent="0.3">
      <c r="A50" s="12">
        <v>32539</v>
      </c>
      <c r="B50" s="13">
        <v>119.2</v>
      </c>
    </row>
    <row r="51" spans="1:2" x14ac:dyDescent="0.3">
      <c r="A51" s="12">
        <v>32567</v>
      </c>
      <c r="B51" s="13">
        <v>118</v>
      </c>
    </row>
    <row r="52" spans="1:2" x14ac:dyDescent="0.3">
      <c r="A52" s="12">
        <v>32598</v>
      </c>
      <c r="B52" s="13">
        <v>109.6</v>
      </c>
    </row>
    <row r="53" spans="1:2" x14ac:dyDescent="0.3">
      <c r="A53" s="12">
        <v>32628</v>
      </c>
      <c r="B53" s="13">
        <v>110.6</v>
      </c>
    </row>
    <row r="54" spans="1:2" x14ac:dyDescent="0.3">
      <c r="A54" s="12">
        <v>32659</v>
      </c>
      <c r="B54" s="13">
        <v>107.2</v>
      </c>
    </row>
    <row r="55" spans="1:2" x14ac:dyDescent="0.3">
      <c r="A55" s="12">
        <v>32689</v>
      </c>
      <c r="B55" s="13">
        <v>111</v>
      </c>
    </row>
    <row r="56" spans="1:2" x14ac:dyDescent="0.3">
      <c r="A56" s="12">
        <v>32720</v>
      </c>
      <c r="B56" s="13">
        <v>111.6</v>
      </c>
    </row>
    <row r="57" spans="1:2" x14ac:dyDescent="0.3">
      <c r="A57" s="12">
        <v>32751</v>
      </c>
      <c r="B57" s="13">
        <v>111.2</v>
      </c>
    </row>
    <row r="58" spans="1:2" x14ac:dyDescent="0.3">
      <c r="A58" s="12">
        <v>32781</v>
      </c>
      <c r="B58" s="13">
        <v>111.2</v>
      </c>
    </row>
    <row r="59" spans="1:2" x14ac:dyDescent="0.3">
      <c r="A59" s="12">
        <v>32812</v>
      </c>
      <c r="B59" s="13">
        <v>108.7</v>
      </c>
    </row>
    <row r="60" spans="1:2" x14ac:dyDescent="0.3">
      <c r="A60" s="12">
        <v>32842</v>
      </c>
      <c r="B60" s="13">
        <v>107.5</v>
      </c>
    </row>
    <row r="61" spans="1:2" x14ac:dyDescent="0.3">
      <c r="A61" s="12">
        <v>32873</v>
      </c>
      <c r="B61" s="13">
        <v>112.3</v>
      </c>
    </row>
    <row r="62" spans="1:2" x14ac:dyDescent="0.3">
      <c r="A62" s="12">
        <v>32904</v>
      </c>
      <c r="B62" s="13">
        <v>114.4</v>
      </c>
    </row>
    <row r="63" spans="1:2" x14ac:dyDescent="0.3">
      <c r="A63" s="12">
        <v>32932</v>
      </c>
      <c r="B63" s="13">
        <v>106.7</v>
      </c>
    </row>
    <row r="64" spans="1:2" x14ac:dyDescent="0.3">
      <c r="A64" s="12">
        <v>32963</v>
      </c>
      <c r="B64" s="13">
        <v>107.9</v>
      </c>
    </row>
    <row r="65" spans="1:2" x14ac:dyDescent="0.3">
      <c r="A65" s="12">
        <v>32993</v>
      </c>
      <c r="B65" s="13">
        <v>111.2</v>
      </c>
    </row>
    <row r="66" spans="1:2" x14ac:dyDescent="0.3">
      <c r="A66" s="12">
        <v>33024</v>
      </c>
      <c r="B66" s="13">
        <v>104.6</v>
      </c>
    </row>
    <row r="67" spans="1:2" x14ac:dyDescent="0.3">
      <c r="A67" s="12">
        <v>33054</v>
      </c>
      <c r="B67" s="13">
        <v>99.5</v>
      </c>
    </row>
    <row r="68" spans="1:2" x14ac:dyDescent="0.3">
      <c r="A68" s="12">
        <v>33085</v>
      </c>
      <c r="B68" s="13">
        <v>94.3</v>
      </c>
    </row>
    <row r="69" spans="1:2" x14ac:dyDescent="0.3">
      <c r="A69" s="12">
        <v>33116</v>
      </c>
      <c r="B69" s="13">
        <v>94.9</v>
      </c>
    </row>
    <row r="70" spans="1:2" x14ac:dyDescent="0.3">
      <c r="A70" s="12">
        <v>33146</v>
      </c>
      <c r="B70" s="13">
        <v>95</v>
      </c>
    </row>
    <row r="71" spans="1:2" x14ac:dyDescent="0.3">
      <c r="A71" s="12">
        <v>33177</v>
      </c>
      <c r="B71" s="13">
        <v>85.8</v>
      </c>
    </row>
    <row r="72" spans="1:2" x14ac:dyDescent="0.3">
      <c r="A72" s="12">
        <v>33207</v>
      </c>
      <c r="B72" s="13">
        <v>90.2</v>
      </c>
    </row>
    <row r="73" spans="1:2" x14ac:dyDescent="0.3">
      <c r="A73" s="12">
        <v>33238</v>
      </c>
      <c r="B73" s="13">
        <v>90.2</v>
      </c>
    </row>
    <row r="74" spans="1:2" x14ac:dyDescent="0.3">
      <c r="A74" s="12">
        <v>33269</v>
      </c>
      <c r="B74" s="13">
        <v>88.2</v>
      </c>
    </row>
    <row r="75" spans="1:2" x14ac:dyDescent="0.3">
      <c r="A75" s="12">
        <v>33297</v>
      </c>
      <c r="B75" s="13">
        <v>85.8</v>
      </c>
    </row>
    <row r="76" spans="1:2" x14ac:dyDescent="0.3">
      <c r="A76" s="12">
        <v>33328</v>
      </c>
      <c r="B76" s="13">
        <v>88.1</v>
      </c>
    </row>
    <row r="77" spans="1:2" x14ac:dyDescent="0.3">
      <c r="A77" s="12">
        <v>33358</v>
      </c>
      <c r="B77" s="13">
        <v>92.2</v>
      </c>
    </row>
    <row r="78" spans="1:2" x14ac:dyDescent="0.3">
      <c r="A78" s="12">
        <v>33389</v>
      </c>
      <c r="B78" s="13">
        <v>88.7</v>
      </c>
    </row>
    <row r="79" spans="1:2" x14ac:dyDescent="0.3">
      <c r="A79" s="12">
        <v>33419</v>
      </c>
      <c r="B79" s="13">
        <v>89.8</v>
      </c>
    </row>
    <row r="80" spans="1:2" x14ac:dyDescent="0.3">
      <c r="A80" s="12">
        <v>33450</v>
      </c>
      <c r="B80" s="13">
        <v>91.4</v>
      </c>
    </row>
    <row r="81" spans="1:2" x14ac:dyDescent="0.3">
      <c r="A81" s="12">
        <v>33481</v>
      </c>
      <c r="B81" s="13">
        <v>92.4</v>
      </c>
    </row>
    <row r="82" spans="1:2" x14ac:dyDescent="0.3">
      <c r="A82" s="12">
        <v>33511</v>
      </c>
      <c r="B82" s="13">
        <v>90</v>
      </c>
    </row>
    <row r="83" spans="1:2" x14ac:dyDescent="0.3">
      <c r="A83" s="12">
        <v>33542</v>
      </c>
      <c r="B83" s="13">
        <v>89.7</v>
      </c>
    </row>
    <row r="84" spans="1:2" x14ac:dyDescent="0.3">
      <c r="A84" s="12">
        <v>33572</v>
      </c>
      <c r="B84" s="13">
        <v>92.2</v>
      </c>
    </row>
    <row r="85" spans="1:2" x14ac:dyDescent="0.3">
      <c r="A85" s="12">
        <v>33603</v>
      </c>
      <c r="B85" s="13">
        <v>88.2</v>
      </c>
    </row>
    <row r="86" spans="1:2" x14ac:dyDescent="0.3">
      <c r="A86" s="12">
        <v>33634</v>
      </c>
      <c r="B86" s="13">
        <v>86.7</v>
      </c>
    </row>
    <row r="87" spans="1:2" x14ac:dyDescent="0.3">
      <c r="A87" s="12">
        <v>33663</v>
      </c>
      <c r="B87" s="13">
        <v>89.7</v>
      </c>
    </row>
    <row r="88" spans="1:2" x14ac:dyDescent="0.3">
      <c r="A88" s="12">
        <v>33694</v>
      </c>
      <c r="B88" s="13">
        <v>92</v>
      </c>
    </row>
    <row r="89" spans="1:2" x14ac:dyDescent="0.3">
      <c r="A89" s="12">
        <v>33724</v>
      </c>
      <c r="B89" s="13">
        <v>90</v>
      </c>
    </row>
    <row r="90" spans="1:2" x14ac:dyDescent="0.3">
      <c r="A90" s="12">
        <v>33755</v>
      </c>
      <c r="B90" s="13">
        <v>91.2</v>
      </c>
    </row>
    <row r="91" spans="1:2" x14ac:dyDescent="0.3">
      <c r="A91" s="12">
        <v>33785</v>
      </c>
      <c r="B91" s="13">
        <v>86.2</v>
      </c>
    </row>
    <row r="92" spans="1:2" x14ac:dyDescent="0.3">
      <c r="A92" s="12">
        <v>33816</v>
      </c>
      <c r="B92" s="13">
        <v>82</v>
      </c>
    </row>
    <row r="93" spans="1:2" x14ac:dyDescent="0.3">
      <c r="A93" s="12">
        <v>33847</v>
      </c>
      <c r="B93" s="13">
        <v>82.2</v>
      </c>
    </row>
    <row r="94" spans="1:2" x14ac:dyDescent="0.3">
      <c r="A94" s="12">
        <v>33877</v>
      </c>
      <c r="B94" s="13">
        <v>74</v>
      </c>
    </row>
    <row r="95" spans="1:2" x14ac:dyDescent="0.3">
      <c r="A95" s="12">
        <v>33908</v>
      </c>
      <c r="B95" s="13">
        <v>71</v>
      </c>
    </row>
    <row r="96" spans="1:2" x14ac:dyDescent="0.3">
      <c r="A96" s="12">
        <v>33938</v>
      </c>
      <c r="B96" s="13">
        <v>72.400000000000006</v>
      </c>
    </row>
    <row r="97" spans="1:2" x14ac:dyDescent="0.3">
      <c r="A97" s="12">
        <v>33969</v>
      </c>
      <c r="B97" s="13">
        <v>71.599999999999994</v>
      </c>
    </row>
    <row r="98" spans="1:2" x14ac:dyDescent="0.3">
      <c r="A98" s="12">
        <v>34000</v>
      </c>
      <c r="B98" s="13">
        <v>68.900000000000006</v>
      </c>
    </row>
    <row r="99" spans="1:2" x14ac:dyDescent="0.3">
      <c r="A99" s="12">
        <v>34028</v>
      </c>
      <c r="B99" s="13">
        <v>69.099999999999994</v>
      </c>
    </row>
    <row r="100" spans="1:2" x14ac:dyDescent="0.3">
      <c r="A100" s="12">
        <v>34059</v>
      </c>
      <c r="B100" s="13">
        <v>71.7</v>
      </c>
    </row>
    <row r="101" spans="1:2" x14ac:dyDescent="0.3">
      <c r="A101" s="12">
        <v>34089</v>
      </c>
      <c r="B101" s="13">
        <v>69.7</v>
      </c>
    </row>
    <row r="102" spans="1:2" x14ac:dyDescent="0.3">
      <c r="A102" s="12">
        <v>34120</v>
      </c>
      <c r="B102" s="13">
        <v>74.400000000000006</v>
      </c>
    </row>
    <row r="103" spans="1:2" x14ac:dyDescent="0.3">
      <c r="A103" s="12">
        <v>34150</v>
      </c>
      <c r="B103" s="13">
        <v>68.2</v>
      </c>
    </row>
    <row r="104" spans="1:2" x14ac:dyDescent="0.3">
      <c r="A104" s="12">
        <v>34181</v>
      </c>
      <c r="B104" s="13">
        <v>71.599999999999994</v>
      </c>
    </row>
    <row r="105" spans="1:2" x14ac:dyDescent="0.3">
      <c r="A105" s="12">
        <v>34212</v>
      </c>
      <c r="B105" s="13">
        <v>73.3</v>
      </c>
    </row>
    <row r="106" spans="1:2" x14ac:dyDescent="0.3">
      <c r="A106" s="12">
        <v>34242</v>
      </c>
      <c r="B106" s="13">
        <v>71.400000000000006</v>
      </c>
    </row>
    <row r="107" spans="1:2" x14ac:dyDescent="0.3">
      <c r="A107" s="12">
        <v>34273</v>
      </c>
      <c r="B107" s="13">
        <v>76</v>
      </c>
    </row>
    <row r="108" spans="1:2" x14ac:dyDescent="0.3">
      <c r="A108" s="12">
        <v>34303</v>
      </c>
      <c r="B108" s="13">
        <v>82.7</v>
      </c>
    </row>
    <row r="109" spans="1:2" x14ac:dyDescent="0.3">
      <c r="A109" s="12">
        <v>34334</v>
      </c>
      <c r="B109" s="13">
        <v>78.7</v>
      </c>
    </row>
    <row r="110" spans="1:2" x14ac:dyDescent="0.3">
      <c r="A110" s="12">
        <v>34365</v>
      </c>
      <c r="B110" s="13">
        <v>80.599999999999994</v>
      </c>
    </row>
    <row r="111" spans="1:2" x14ac:dyDescent="0.3">
      <c r="A111" s="12">
        <v>34393</v>
      </c>
      <c r="B111" s="13">
        <v>88.1</v>
      </c>
    </row>
    <row r="112" spans="1:2" x14ac:dyDescent="0.3">
      <c r="A112" s="12">
        <v>34424</v>
      </c>
      <c r="B112" s="13">
        <v>94.2</v>
      </c>
    </row>
    <row r="113" spans="1:2" x14ac:dyDescent="0.3">
      <c r="A113" s="12">
        <v>34454</v>
      </c>
      <c r="B113" s="13">
        <v>97.4</v>
      </c>
    </row>
    <row r="114" spans="1:2" x14ac:dyDescent="0.3">
      <c r="A114" s="12">
        <v>34485</v>
      </c>
      <c r="B114" s="13">
        <v>95.9</v>
      </c>
    </row>
    <row r="115" spans="1:2" x14ac:dyDescent="0.3">
      <c r="A115" s="12">
        <v>34515</v>
      </c>
      <c r="B115" s="13">
        <v>94.1</v>
      </c>
    </row>
    <row r="116" spans="1:2" x14ac:dyDescent="0.3">
      <c r="A116" s="12">
        <v>34546</v>
      </c>
      <c r="B116" s="13">
        <v>106.1</v>
      </c>
    </row>
    <row r="117" spans="1:2" x14ac:dyDescent="0.3">
      <c r="A117" s="12">
        <v>34577</v>
      </c>
      <c r="B117" s="13">
        <v>105.8</v>
      </c>
    </row>
    <row r="118" spans="1:2" x14ac:dyDescent="0.3">
      <c r="A118" s="12">
        <v>34607</v>
      </c>
      <c r="B118" s="13">
        <v>110.9</v>
      </c>
    </row>
    <row r="119" spans="1:2" x14ac:dyDescent="0.3">
      <c r="A119" s="12">
        <v>34638</v>
      </c>
      <c r="B119" s="13">
        <v>111.6</v>
      </c>
    </row>
    <row r="120" spans="1:2" x14ac:dyDescent="0.3">
      <c r="A120" s="12">
        <v>34668</v>
      </c>
      <c r="B120" s="13">
        <v>111.7</v>
      </c>
    </row>
    <row r="121" spans="1:2" x14ac:dyDescent="0.3">
      <c r="A121" s="12">
        <v>34699</v>
      </c>
      <c r="B121" s="13">
        <v>112.6</v>
      </c>
    </row>
    <row r="122" spans="1:2" x14ac:dyDescent="0.3">
      <c r="A122" s="12">
        <v>34730</v>
      </c>
      <c r="B122" s="13">
        <v>110.3</v>
      </c>
    </row>
    <row r="123" spans="1:2" x14ac:dyDescent="0.3">
      <c r="A123" s="12">
        <v>34758</v>
      </c>
      <c r="B123" s="13">
        <v>116.7</v>
      </c>
    </row>
    <row r="124" spans="1:2" x14ac:dyDescent="0.3">
      <c r="A124" s="12">
        <v>34789</v>
      </c>
      <c r="B124" s="13">
        <v>109.7</v>
      </c>
    </row>
    <row r="125" spans="1:2" x14ac:dyDescent="0.3">
      <c r="A125" s="12">
        <v>34819</v>
      </c>
      <c r="B125" s="13">
        <v>111.9</v>
      </c>
    </row>
    <row r="126" spans="1:2" x14ac:dyDescent="0.3">
      <c r="A126" s="12">
        <v>34850</v>
      </c>
      <c r="B126" s="13">
        <v>109</v>
      </c>
    </row>
    <row r="127" spans="1:2" x14ac:dyDescent="0.3">
      <c r="A127" s="12">
        <v>34880</v>
      </c>
      <c r="B127" s="13">
        <v>110.7</v>
      </c>
    </row>
    <row r="128" spans="1:2" x14ac:dyDescent="0.3">
      <c r="A128" s="12">
        <v>34911</v>
      </c>
      <c r="B128" s="13">
        <v>115.5</v>
      </c>
    </row>
    <row r="129" spans="1:3" x14ac:dyDescent="0.3">
      <c r="A129" s="12">
        <v>34942</v>
      </c>
      <c r="B129" s="13">
        <v>105.7</v>
      </c>
    </row>
    <row r="130" spans="1:3" x14ac:dyDescent="0.3">
      <c r="A130" s="12">
        <v>34972</v>
      </c>
      <c r="B130" s="13">
        <v>109.7</v>
      </c>
    </row>
    <row r="131" spans="1:3" x14ac:dyDescent="0.3">
      <c r="A131" s="12">
        <v>35003</v>
      </c>
      <c r="B131" s="13">
        <v>101.9</v>
      </c>
    </row>
    <row r="132" spans="1:3" x14ac:dyDescent="0.3">
      <c r="A132" s="12">
        <v>35033</v>
      </c>
      <c r="B132" s="13">
        <v>97.9</v>
      </c>
    </row>
    <row r="133" spans="1:3" x14ac:dyDescent="0.3">
      <c r="A133" s="12">
        <v>35064</v>
      </c>
      <c r="B133" s="13">
        <v>98</v>
      </c>
    </row>
    <row r="134" spans="1:3" x14ac:dyDescent="0.3">
      <c r="A134" s="12">
        <v>35095</v>
      </c>
      <c r="B134" s="13">
        <v>95.6</v>
      </c>
      <c r="C134" s="29">
        <f>AVERAGE(B134:B136)</f>
        <v>91.133333333333326</v>
      </c>
    </row>
    <row r="135" spans="1:3" x14ac:dyDescent="0.3">
      <c r="A135" s="12">
        <v>35124</v>
      </c>
      <c r="B135" s="13">
        <v>88.6</v>
      </c>
    </row>
    <row r="136" spans="1:3" x14ac:dyDescent="0.3">
      <c r="A136" s="12">
        <v>35155</v>
      </c>
      <c r="B136" s="13">
        <v>89.2</v>
      </c>
    </row>
    <row r="137" spans="1:3" x14ac:dyDescent="0.3">
      <c r="A137" s="12">
        <v>35185</v>
      </c>
      <c r="B137" s="13">
        <v>86.7</v>
      </c>
    </row>
    <row r="138" spans="1:3" x14ac:dyDescent="0.3">
      <c r="A138" s="12">
        <v>35216</v>
      </c>
      <c r="B138" s="13">
        <v>86.5</v>
      </c>
    </row>
    <row r="139" spans="1:3" x14ac:dyDescent="0.3">
      <c r="A139" s="12">
        <v>35246</v>
      </c>
      <c r="B139" s="13">
        <v>88.5</v>
      </c>
    </row>
    <row r="140" spans="1:3" x14ac:dyDescent="0.3">
      <c r="A140" s="12">
        <v>35277</v>
      </c>
      <c r="B140" s="13">
        <v>89.2</v>
      </c>
    </row>
    <row r="141" spans="1:3" x14ac:dyDescent="0.3">
      <c r="A141" s="12">
        <v>35308</v>
      </c>
      <c r="B141" s="13">
        <v>90.3</v>
      </c>
    </row>
    <row r="142" spans="1:3" x14ac:dyDescent="0.3">
      <c r="A142" s="12">
        <v>35338</v>
      </c>
      <c r="B142" s="13">
        <v>88.6</v>
      </c>
    </row>
    <row r="143" spans="1:3" x14ac:dyDescent="0.3">
      <c r="A143" s="12">
        <v>35369</v>
      </c>
      <c r="B143" s="13">
        <v>99.6</v>
      </c>
    </row>
    <row r="144" spans="1:3" x14ac:dyDescent="0.3">
      <c r="A144" s="12">
        <v>35399</v>
      </c>
      <c r="B144" s="13">
        <v>95</v>
      </c>
    </row>
    <row r="145" spans="1:2" x14ac:dyDescent="0.3">
      <c r="A145" s="12">
        <v>35430</v>
      </c>
      <c r="B145" s="13">
        <v>93.7</v>
      </c>
    </row>
    <row r="146" spans="1:2" x14ac:dyDescent="0.3">
      <c r="A146" s="12">
        <v>35461</v>
      </c>
      <c r="B146" s="13">
        <v>93.1</v>
      </c>
    </row>
    <row r="147" spans="1:2" x14ac:dyDescent="0.3">
      <c r="A147" s="12">
        <v>35489</v>
      </c>
      <c r="B147" s="13">
        <v>94.1</v>
      </c>
    </row>
    <row r="148" spans="1:2" x14ac:dyDescent="0.3">
      <c r="A148" s="12">
        <v>35520</v>
      </c>
      <c r="B148" s="13">
        <v>92.4</v>
      </c>
    </row>
    <row r="149" spans="1:2" x14ac:dyDescent="0.3">
      <c r="A149" s="12">
        <v>35550</v>
      </c>
      <c r="B149" s="13">
        <v>96</v>
      </c>
    </row>
    <row r="150" spans="1:2" x14ac:dyDescent="0.3">
      <c r="A150" s="12">
        <v>35581</v>
      </c>
      <c r="B150" s="13">
        <v>102</v>
      </c>
    </row>
    <row r="151" spans="1:2" x14ac:dyDescent="0.3">
      <c r="A151" s="12">
        <v>35611</v>
      </c>
      <c r="B151" s="13">
        <v>102</v>
      </c>
    </row>
    <row r="152" spans="1:2" x14ac:dyDescent="0.3">
      <c r="A152" s="12">
        <v>35642</v>
      </c>
      <c r="B152" s="13">
        <v>106.7</v>
      </c>
    </row>
    <row r="153" spans="1:2" x14ac:dyDescent="0.3">
      <c r="A153" s="12">
        <v>35673</v>
      </c>
      <c r="B153" s="13">
        <v>104.2</v>
      </c>
    </row>
    <row r="154" spans="1:2" x14ac:dyDescent="0.3">
      <c r="A154" s="12">
        <v>35703</v>
      </c>
      <c r="B154" s="13">
        <v>107</v>
      </c>
    </row>
    <row r="155" spans="1:2" x14ac:dyDescent="0.3">
      <c r="A155" s="12">
        <v>35734</v>
      </c>
      <c r="B155" s="13">
        <v>107.8</v>
      </c>
    </row>
    <row r="156" spans="1:2" x14ac:dyDescent="0.3">
      <c r="A156" s="12">
        <v>35764</v>
      </c>
      <c r="B156" s="13">
        <v>106.8</v>
      </c>
    </row>
    <row r="157" spans="1:2" x14ac:dyDescent="0.3">
      <c r="A157" s="12">
        <v>35795</v>
      </c>
      <c r="B157" s="13">
        <v>107.1</v>
      </c>
    </row>
    <row r="158" spans="1:2" x14ac:dyDescent="0.3">
      <c r="A158" s="12">
        <v>35826</v>
      </c>
      <c r="B158" s="13">
        <v>112.6</v>
      </c>
    </row>
    <row r="159" spans="1:2" x14ac:dyDescent="0.3">
      <c r="A159" s="12">
        <v>35854</v>
      </c>
      <c r="B159" s="13">
        <v>113.3</v>
      </c>
    </row>
    <row r="160" spans="1:2" x14ac:dyDescent="0.3">
      <c r="A160" s="12">
        <v>35885</v>
      </c>
      <c r="B160" s="13">
        <v>112.2</v>
      </c>
    </row>
    <row r="161" spans="1:2" x14ac:dyDescent="0.3">
      <c r="A161" s="12">
        <v>35915</v>
      </c>
      <c r="B161" s="13">
        <v>112.3</v>
      </c>
    </row>
    <row r="162" spans="1:2" x14ac:dyDescent="0.3">
      <c r="A162" s="12">
        <v>35946</v>
      </c>
      <c r="B162" s="13">
        <v>108.9</v>
      </c>
    </row>
    <row r="163" spans="1:2" x14ac:dyDescent="0.3">
      <c r="A163" s="12">
        <v>35976</v>
      </c>
      <c r="B163" s="13">
        <v>111.1</v>
      </c>
    </row>
    <row r="164" spans="1:2" x14ac:dyDescent="0.3">
      <c r="A164" s="12">
        <v>36007</v>
      </c>
      <c r="B164" s="13">
        <v>109.8</v>
      </c>
    </row>
    <row r="165" spans="1:2" x14ac:dyDescent="0.3">
      <c r="A165" s="12">
        <v>36038</v>
      </c>
      <c r="B165" s="13">
        <v>106.9</v>
      </c>
    </row>
    <row r="166" spans="1:2" x14ac:dyDescent="0.3">
      <c r="A166" s="12">
        <v>36068</v>
      </c>
      <c r="B166" s="13">
        <v>102.2</v>
      </c>
    </row>
    <row r="167" spans="1:2" x14ac:dyDescent="0.3">
      <c r="A167" s="12">
        <v>36099</v>
      </c>
      <c r="B167" s="13">
        <v>102</v>
      </c>
    </row>
    <row r="168" spans="1:2" x14ac:dyDescent="0.3">
      <c r="A168" s="12">
        <v>36129</v>
      </c>
      <c r="B168" s="13">
        <v>104.4</v>
      </c>
    </row>
    <row r="169" spans="1:2" x14ac:dyDescent="0.3">
      <c r="A169" s="12">
        <v>36160</v>
      </c>
      <c r="B169" s="13">
        <v>104</v>
      </c>
    </row>
    <row r="170" spans="1:2" x14ac:dyDescent="0.3">
      <c r="A170" s="12">
        <v>36191</v>
      </c>
      <c r="B170" s="13">
        <v>93.1</v>
      </c>
    </row>
    <row r="171" spans="1:2" x14ac:dyDescent="0.3">
      <c r="A171" s="12">
        <v>36219</v>
      </c>
      <c r="B171" s="13">
        <v>92.1</v>
      </c>
    </row>
    <row r="172" spans="1:2" x14ac:dyDescent="0.3">
      <c r="A172" s="12">
        <v>36250</v>
      </c>
      <c r="B172" s="13">
        <v>92.4</v>
      </c>
    </row>
    <row r="173" spans="1:2" x14ac:dyDescent="0.3">
      <c r="A173" s="12">
        <v>36280</v>
      </c>
      <c r="B173" s="13">
        <v>90.9</v>
      </c>
    </row>
    <row r="174" spans="1:2" x14ac:dyDescent="0.3">
      <c r="A174" s="12">
        <v>36311</v>
      </c>
      <c r="B174" s="13">
        <v>94.8</v>
      </c>
    </row>
    <row r="175" spans="1:2" x14ac:dyDescent="0.3">
      <c r="A175" s="12">
        <v>36341</v>
      </c>
      <c r="B175" s="13">
        <v>100.8</v>
      </c>
    </row>
    <row r="176" spans="1:2" x14ac:dyDescent="0.3">
      <c r="A176" s="12">
        <v>36372</v>
      </c>
      <c r="B176" s="13">
        <v>102</v>
      </c>
    </row>
    <row r="177" spans="1:2" x14ac:dyDescent="0.3">
      <c r="A177" s="12">
        <v>36403</v>
      </c>
      <c r="B177" s="13">
        <v>103.6</v>
      </c>
    </row>
    <row r="178" spans="1:2" x14ac:dyDescent="0.3">
      <c r="A178" s="12">
        <v>36433</v>
      </c>
      <c r="B178" s="13">
        <v>106</v>
      </c>
    </row>
    <row r="179" spans="1:2" x14ac:dyDescent="0.3">
      <c r="A179" s="12">
        <v>36464</v>
      </c>
      <c r="B179" s="13">
        <v>110.9</v>
      </c>
    </row>
    <row r="180" spans="1:2" x14ac:dyDescent="0.3">
      <c r="A180" s="12">
        <v>36494</v>
      </c>
      <c r="B180" s="13">
        <v>112</v>
      </c>
    </row>
    <row r="181" spans="1:2" x14ac:dyDescent="0.3">
      <c r="A181" s="12">
        <v>36525</v>
      </c>
      <c r="B181" s="13">
        <v>114.5</v>
      </c>
    </row>
    <row r="182" spans="1:2" x14ac:dyDescent="0.3">
      <c r="A182" s="12">
        <v>36556</v>
      </c>
      <c r="B182" s="13">
        <v>118.7</v>
      </c>
    </row>
    <row r="183" spans="1:2" x14ac:dyDescent="0.3">
      <c r="A183" s="12">
        <v>36585</v>
      </c>
      <c r="B183" s="13">
        <v>121.1</v>
      </c>
    </row>
    <row r="184" spans="1:2" x14ac:dyDescent="0.3">
      <c r="A184" s="12">
        <v>36616</v>
      </c>
      <c r="B184" s="13">
        <v>119.5</v>
      </c>
    </row>
    <row r="185" spans="1:2" x14ac:dyDescent="0.3">
      <c r="A185" s="12">
        <v>36646</v>
      </c>
      <c r="B185" s="13">
        <v>122.5</v>
      </c>
    </row>
    <row r="186" spans="1:2" x14ac:dyDescent="0.3">
      <c r="A186" s="12">
        <v>36677</v>
      </c>
      <c r="B186" s="13">
        <v>124.2</v>
      </c>
    </row>
    <row r="187" spans="1:2" x14ac:dyDescent="0.3">
      <c r="A187" s="12">
        <v>36707</v>
      </c>
      <c r="B187" s="13">
        <v>121.3</v>
      </c>
    </row>
    <row r="188" spans="1:2" x14ac:dyDescent="0.3">
      <c r="A188" s="12">
        <v>36738</v>
      </c>
      <c r="B188" s="13">
        <v>117</v>
      </c>
    </row>
    <row r="189" spans="1:2" x14ac:dyDescent="0.3">
      <c r="A189" s="12">
        <v>36769</v>
      </c>
      <c r="B189" s="13">
        <v>117.7</v>
      </c>
    </row>
    <row r="190" spans="1:2" x14ac:dyDescent="0.3">
      <c r="A190" s="12">
        <v>36799</v>
      </c>
      <c r="B190" s="13">
        <v>114.2</v>
      </c>
    </row>
    <row r="191" spans="1:2" x14ac:dyDescent="0.3">
      <c r="A191" s="12">
        <v>36830</v>
      </c>
      <c r="B191" s="13">
        <v>116.4</v>
      </c>
    </row>
    <row r="192" spans="1:2" x14ac:dyDescent="0.3">
      <c r="A192" s="12">
        <v>36860</v>
      </c>
      <c r="B192" s="13">
        <v>115.8</v>
      </c>
    </row>
    <row r="193" spans="1:2" x14ac:dyDescent="0.3">
      <c r="A193" s="12">
        <v>36891</v>
      </c>
      <c r="B193" s="13">
        <v>116.7</v>
      </c>
    </row>
    <row r="194" spans="1:2" x14ac:dyDescent="0.3">
      <c r="A194" s="12">
        <v>36922</v>
      </c>
      <c r="B194" s="13">
        <v>115.1</v>
      </c>
    </row>
    <row r="195" spans="1:2" x14ac:dyDescent="0.3">
      <c r="A195" s="12">
        <v>36950</v>
      </c>
      <c r="B195" s="13">
        <v>111.8</v>
      </c>
    </row>
    <row r="196" spans="1:2" x14ac:dyDescent="0.3">
      <c r="A196" s="12">
        <v>36981</v>
      </c>
      <c r="B196" s="13">
        <v>110</v>
      </c>
    </row>
    <row r="197" spans="1:2" x14ac:dyDescent="0.3">
      <c r="A197" s="12">
        <v>37011</v>
      </c>
      <c r="B197" s="13">
        <v>103.1</v>
      </c>
    </row>
    <row r="198" spans="1:2" x14ac:dyDescent="0.3">
      <c r="A198" s="12">
        <v>37042</v>
      </c>
      <c r="B198" s="13">
        <v>105</v>
      </c>
    </row>
    <row r="199" spans="1:2" x14ac:dyDescent="0.3">
      <c r="A199" s="12">
        <v>37072</v>
      </c>
      <c r="B199" s="13">
        <v>106.1</v>
      </c>
    </row>
    <row r="200" spans="1:2" x14ac:dyDescent="0.3">
      <c r="A200" s="12">
        <v>37103</v>
      </c>
      <c r="B200" s="13">
        <v>109</v>
      </c>
    </row>
    <row r="201" spans="1:2" x14ac:dyDescent="0.3">
      <c r="A201" s="12">
        <v>37134</v>
      </c>
      <c r="B201" s="13">
        <v>106.9</v>
      </c>
    </row>
    <row r="202" spans="1:2" x14ac:dyDescent="0.3">
      <c r="A202" s="12">
        <v>37164</v>
      </c>
      <c r="B202" s="13">
        <v>97.9</v>
      </c>
    </row>
    <row r="203" spans="1:2" x14ac:dyDescent="0.3">
      <c r="A203" s="12">
        <v>37195</v>
      </c>
      <c r="B203" s="13">
        <v>90.3</v>
      </c>
    </row>
    <row r="204" spans="1:2" x14ac:dyDescent="0.3">
      <c r="A204" s="12">
        <v>37225</v>
      </c>
      <c r="B204" s="13">
        <v>90.4</v>
      </c>
    </row>
    <row r="205" spans="1:2" x14ac:dyDescent="0.3">
      <c r="A205" s="12">
        <v>37256</v>
      </c>
      <c r="B205" s="13">
        <v>99.2</v>
      </c>
    </row>
    <row r="206" spans="1:2" x14ac:dyDescent="0.3">
      <c r="A206" s="12">
        <v>37287</v>
      </c>
      <c r="B206" s="13">
        <v>100.4</v>
      </c>
    </row>
    <row r="207" spans="1:2" x14ac:dyDescent="0.3">
      <c r="A207" s="12">
        <v>37315</v>
      </c>
      <c r="B207" s="13">
        <v>105.3</v>
      </c>
    </row>
    <row r="208" spans="1:2" x14ac:dyDescent="0.3">
      <c r="A208" s="12">
        <v>37346</v>
      </c>
      <c r="B208" s="13">
        <v>109.7</v>
      </c>
    </row>
    <row r="209" spans="1:2" x14ac:dyDescent="0.3">
      <c r="A209" s="12">
        <v>37376</v>
      </c>
      <c r="B209" s="13">
        <v>106.3</v>
      </c>
    </row>
    <row r="210" spans="1:2" x14ac:dyDescent="0.3">
      <c r="A210" s="12">
        <v>37407</v>
      </c>
      <c r="B210" s="13">
        <v>106.8</v>
      </c>
    </row>
    <row r="211" spans="1:2" x14ac:dyDescent="0.3">
      <c r="A211" s="12">
        <v>37437</v>
      </c>
      <c r="B211" s="13">
        <v>103.2</v>
      </c>
    </row>
    <row r="212" spans="1:2" x14ac:dyDescent="0.3">
      <c r="A212" s="12">
        <v>37468</v>
      </c>
      <c r="B212" s="13">
        <v>100.8</v>
      </c>
    </row>
    <row r="213" spans="1:2" x14ac:dyDescent="0.3">
      <c r="A213" s="12">
        <v>37499</v>
      </c>
      <c r="B213" s="13">
        <v>99.1</v>
      </c>
    </row>
    <row r="214" spans="1:2" x14ac:dyDescent="0.3">
      <c r="A214" s="12">
        <v>37529</v>
      </c>
      <c r="B214" s="13">
        <v>103.5</v>
      </c>
    </row>
    <row r="215" spans="1:2" x14ac:dyDescent="0.3">
      <c r="A215" s="12">
        <v>37560</v>
      </c>
      <c r="B215" s="13">
        <v>96</v>
      </c>
    </row>
    <row r="216" spans="1:2" x14ac:dyDescent="0.3">
      <c r="A216" s="12">
        <v>37590</v>
      </c>
      <c r="B216" s="13">
        <v>99.9</v>
      </c>
    </row>
    <row r="217" spans="1:2" x14ac:dyDescent="0.3">
      <c r="A217" s="12">
        <v>37621</v>
      </c>
      <c r="B217" s="13">
        <v>96.7</v>
      </c>
    </row>
    <row r="218" spans="1:2" x14ac:dyDescent="0.3">
      <c r="A218" s="12">
        <v>37652</v>
      </c>
      <c r="B218" s="13">
        <v>101</v>
      </c>
    </row>
    <row r="219" spans="1:2" x14ac:dyDescent="0.3">
      <c r="A219" s="12">
        <v>37680</v>
      </c>
      <c r="B219" s="13">
        <v>99.8</v>
      </c>
    </row>
    <row r="220" spans="1:2" x14ac:dyDescent="0.3">
      <c r="A220" s="12">
        <v>37711</v>
      </c>
      <c r="B220" s="13">
        <v>100.4</v>
      </c>
    </row>
    <row r="221" spans="1:2" x14ac:dyDescent="0.3">
      <c r="A221" s="12">
        <v>37741</v>
      </c>
      <c r="B221" s="13">
        <v>97.6</v>
      </c>
    </row>
    <row r="222" spans="1:2" x14ac:dyDescent="0.3">
      <c r="A222" s="12">
        <v>37772</v>
      </c>
      <c r="B222" s="13">
        <v>96.3</v>
      </c>
    </row>
    <row r="223" spans="1:2" x14ac:dyDescent="0.3">
      <c r="A223" s="12">
        <v>37802</v>
      </c>
      <c r="B223" s="13">
        <v>96.4</v>
      </c>
    </row>
    <row r="224" spans="1:2" x14ac:dyDescent="0.3">
      <c r="A224" s="12">
        <v>37833</v>
      </c>
      <c r="B224" s="13">
        <v>93.2</v>
      </c>
    </row>
    <row r="225" spans="1:2" x14ac:dyDescent="0.3">
      <c r="A225" s="12">
        <v>37864</v>
      </c>
      <c r="B225" s="13">
        <v>97.3</v>
      </c>
    </row>
    <row r="226" spans="1:2" x14ac:dyDescent="0.3">
      <c r="A226" s="12">
        <v>37894</v>
      </c>
      <c r="B226" s="13">
        <v>97</v>
      </c>
    </row>
    <row r="227" spans="1:2" x14ac:dyDescent="0.3">
      <c r="A227" s="12">
        <v>37925</v>
      </c>
      <c r="B227" s="13">
        <v>98.5</v>
      </c>
    </row>
    <row r="228" spans="1:2" x14ac:dyDescent="0.3">
      <c r="A228" s="12">
        <v>37955</v>
      </c>
      <c r="B228" s="13">
        <v>99.2</v>
      </c>
    </row>
    <row r="229" spans="1:2" x14ac:dyDescent="0.3">
      <c r="A229" s="12">
        <v>37986</v>
      </c>
      <c r="B229" s="13">
        <v>97.7</v>
      </c>
    </row>
    <row r="230" spans="1:2" x14ac:dyDescent="0.3">
      <c r="A230" s="12">
        <v>38017</v>
      </c>
      <c r="B230" s="13">
        <v>96.4</v>
      </c>
    </row>
    <row r="231" spans="1:2" x14ac:dyDescent="0.3">
      <c r="A231" s="12">
        <v>38046</v>
      </c>
      <c r="B231" s="13">
        <v>96.8</v>
      </c>
    </row>
    <row r="232" spans="1:2" x14ac:dyDescent="0.3">
      <c r="A232" s="12">
        <v>38077</v>
      </c>
      <c r="B232" s="13">
        <v>97.7</v>
      </c>
    </row>
    <row r="233" spans="1:2" x14ac:dyDescent="0.3">
      <c r="A233" s="12">
        <v>38107</v>
      </c>
      <c r="B233" s="13">
        <v>100</v>
      </c>
    </row>
    <row r="234" spans="1:2" x14ac:dyDescent="0.3">
      <c r="A234" s="12">
        <v>38138</v>
      </c>
      <c r="B234" s="13">
        <v>100.9</v>
      </c>
    </row>
    <row r="235" spans="1:2" x14ac:dyDescent="0.3">
      <c r="A235" s="12">
        <v>38168</v>
      </c>
      <c r="B235" s="13">
        <v>103.4</v>
      </c>
    </row>
    <row r="236" spans="1:2" x14ac:dyDescent="0.3">
      <c r="A236" s="12">
        <v>38199</v>
      </c>
      <c r="B236" s="13">
        <v>100.8</v>
      </c>
    </row>
    <row r="237" spans="1:2" x14ac:dyDescent="0.3">
      <c r="A237" s="12">
        <v>38230</v>
      </c>
      <c r="B237" s="13">
        <v>101.5</v>
      </c>
    </row>
    <row r="238" spans="1:2" x14ac:dyDescent="0.3">
      <c r="A238" s="12">
        <v>38260</v>
      </c>
      <c r="B238" s="13">
        <v>100.8</v>
      </c>
    </row>
    <row r="239" spans="1:2" x14ac:dyDescent="0.3">
      <c r="A239" s="12">
        <v>38291</v>
      </c>
      <c r="B239" s="13">
        <v>102.4</v>
      </c>
    </row>
    <row r="240" spans="1:2" x14ac:dyDescent="0.3">
      <c r="A240" s="12">
        <v>38321</v>
      </c>
      <c r="B240" s="13">
        <v>100.3</v>
      </c>
    </row>
    <row r="241" spans="1:2" x14ac:dyDescent="0.3">
      <c r="A241" s="12">
        <v>38352</v>
      </c>
      <c r="B241" s="13">
        <v>96.1</v>
      </c>
    </row>
    <row r="242" spans="1:2" x14ac:dyDescent="0.3">
      <c r="A242" s="12">
        <v>38383</v>
      </c>
      <c r="B242" s="13">
        <v>97</v>
      </c>
    </row>
    <row r="243" spans="1:2" x14ac:dyDescent="0.3">
      <c r="A243" s="12">
        <v>38411</v>
      </c>
      <c r="B243" s="13">
        <v>96.7</v>
      </c>
    </row>
    <row r="244" spans="1:2" x14ac:dyDescent="0.3">
      <c r="A244" s="12">
        <v>38442</v>
      </c>
      <c r="B244" s="13">
        <v>97.5</v>
      </c>
    </row>
    <row r="245" spans="1:2" x14ac:dyDescent="0.3">
      <c r="A245" s="12">
        <v>38472</v>
      </c>
      <c r="B245" s="13">
        <v>97.2</v>
      </c>
    </row>
    <row r="246" spans="1:2" x14ac:dyDescent="0.3">
      <c r="A246" s="12">
        <v>38503</v>
      </c>
      <c r="B246" s="13">
        <v>96.3</v>
      </c>
    </row>
    <row r="247" spans="1:2" x14ac:dyDescent="0.3">
      <c r="A247" s="12">
        <v>38533</v>
      </c>
      <c r="B247" s="13">
        <v>94.4</v>
      </c>
    </row>
    <row r="248" spans="1:2" x14ac:dyDescent="0.3">
      <c r="A248" s="12">
        <v>38564</v>
      </c>
      <c r="B248" s="13">
        <v>97.3</v>
      </c>
    </row>
    <row r="249" spans="1:2" x14ac:dyDescent="0.3">
      <c r="A249" s="12">
        <v>38595</v>
      </c>
      <c r="B249" s="13">
        <v>100.4</v>
      </c>
    </row>
    <row r="250" spans="1:2" x14ac:dyDescent="0.3">
      <c r="A250" s="12">
        <v>38625</v>
      </c>
      <c r="B250" s="13">
        <v>100.6</v>
      </c>
    </row>
    <row r="251" spans="1:2" x14ac:dyDescent="0.3">
      <c r="A251" s="12">
        <v>38656</v>
      </c>
      <c r="B251" s="13">
        <v>104.6</v>
      </c>
    </row>
    <row r="252" spans="1:2" x14ac:dyDescent="0.3">
      <c r="A252" s="12">
        <v>38686</v>
      </c>
      <c r="B252" s="13">
        <v>105.9</v>
      </c>
    </row>
    <row r="253" spans="1:2" x14ac:dyDescent="0.3">
      <c r="A253" s="12">
        <v>38717</v>
      </c>
      <c r="B253" s="13">
        <v>105.6</v>
      </c>
    </row>
    <row r="254" spans="1:2" x14ac:dyDescent="0.3">
      <c r="A254" s="12">
        <v>38748</v>
      </c>
      <c r="B254" s="13">
        <v>108.6</v>
      </c>
    </row>
    <row r="255" spans="1:2" x14ac:dyDescent="0.3">
      <c r="A255" s="12">
        <v>38776</v>
      </c>
      <c r="B255" s="13">
        <v>108</v>
      </c>
    </row>
    <row r="256" spans="1:2" x14ac:dyDescent="0.3">
      <c r="A256" s="12">
        <v>38807</v>
      </c>
      <c r="B256" s="13">
        <v>109.5</v>
      </c>
    </row>
    <row r="257" spans="1:2" x14ac:dyDescent="0.3">
      <c r="A257" s="12">
        <v>38837</v>
      </c>
      <c r="B257" s="13">
        <v>111.5</v>
      </c>
    </row>
    <row r="258" spans="1:2" x14ac:dyDescent="0.3">
      <c r="A258" s="12">
        <v>38868</v>
      </c>
      <c r="B258" s="13">
        <v>111.1</v>
      </c>
    </row>
    <row r="259" spans="1:2" x14ac:dyDescent="0.3">
      <c r="A259" s="12">
        <v>38898</v>
      </c>
      <c r="B259" s="13">
        <v>112.9</v>
      </c>
    </row>
    <row r="260" spans="1:2" x14ac:dyDescent="0.3">
      <c r="A260" s="12">
        <v>38929</v>
      </c>
      <c r="B260" s="13">
        <v>110.8</v>
      </c>
    </row>
    <row r="261" spans="1:2" x14ac:dyDescent="0.3">
      <c r="A261" s="12">
        <v>38960</v>
      </c>
      <c r="B261" s="13">
        <v>111.2</v>
      </c>
    </row>
    <row r="262" spans="1:2" x14ac:dyDescent="0.3">
      <c r="A262" s="12">
        <v>38990</v>
      </c>
      <c r="B262" s="13">
        <v>113.1</v>
      </c>
    </row>
    <row r="263" spans="1:2" x14ac:dyDescent="0.3">
      <c r="A263" s="12">
        <v>39021</v>
      </c>
      <c r="B263" s="13">
        <v>110.5</v>
      </c>
    </row>
    <row r="264" spans="1:2" x14ac:dyDescent="0.3">
      <c r="A264" s="12">
        <v>39051</v>
      </c>
      <c r="B264" s="13">
        <v>109.1</v>
      </c>
    </row>
    <row r="265" spans="1:2" x14ac:dyDescent="0.3">
      <c r="A265" s="12">
        <v>39082</v>
      </c>
      <c r="B265" s="13">
        <v>111.8</v>
      </c>
    </row>
    <row r="266" spans="1:2" x14ac:dyDescent="0.3">
      <c r="A266" s="12">
        <v>39113</v>
      </c>
      <c r="B266" s="13">
        <v>107.1</v>
      </c>
    </row>
    <row r="267" spans="1:2" x14ac:dyDescent="0.3">
      <c r="A267" s="12">
        <v>39141</v>
      </c>
      <c r="B267" s="13">
        <v>111.4</v>
      </c>
    </row>
    <row r="268" spans="1:2" x14ac:dyDescent="0.3">
      <c r="A268" s="12">
        <v>39172</v>
      </c>
      <c r="B268" s="13">
        <v>112.7</v>
      </c>
    </row>
    <row r="269" spans="1:2" x14ac:dyDescent="0.3">
      <c r="A269" s="12">
        <v>39202</v>
      </c>
      <c r="B269" s="13">
        <v>112.7</v>
      </c>
    </row>
    <row r="270" spans="1:2" x14ac:dyDescent="0.3">
      <c r="A270" s="12">
        <v>39233</v>
      </c>
      <c r="B270" s="13">
        <v>109.8</v>
      </c>
    </row>
    <row r="271" spans="1:2" x14ac:dyDescent="0.3">
      <c r="A271" s="12">
        <v>39263</v>
      </c>
      <c r="B271" s="13">
        <v>107.6</v>
      </c>
    </row>
    <row r="272" spans="1:2" x14ac:dyDescent="0.3">
      <c r="A272" s="12">
        <v>39294</v>
      </c>
      <c r="B272" s="13">
        <v>106.2</v>
      </c>
    </row>
    <row r="273" spans="1:2" x14ac:dyDescent="0.3">
      <c r="A273" s="12">
        <v>39325</v>
      </c>
      <c r="B273" s="13">
        <v>106.4</v>
      </c>
    </row>
    <row r="274" spans="1:2" x14ac:dyDescent="0.3">
      <c r="A274" s="12">
        <v>39355</v>
      </c>
      <c r="B274" s="13">
        <v>104.7</v>
      </c>
    </row>
    <row r="275" spans="1:2" x14ac:dyDescent="0.3">
      <c r="A275" s="12">
        <v>39386</v>
      </c>
      <c r="B275" s="13">
        <v>102.9</v>
      </c>
    </row>
    <row r="276" spans="1:2" x14ac:dyDescent="0.3">
      <c r="A276" s="12">
        <v>39416</v>
      </c>
      <c r="B276" s="13">
        <v>104</v>
      </c>
    </row>
    <row r="277" spans="1:2" x14ac:dyDescent="0.3">
      <c r="A277" s="12">
        <v>39447</v>
      </c>
      <c r="B277" s="13">
        <v>103.3</v>
      </c>
    </row>
    <row r="278" spans="1:2" x14ac:dyDescent="0.3">
      <c r="A278" s="12">
        <v>39478</v>
      </c>
      <c r="B278" s="13">
        <v>101.2</v>
      </c>
    </row>
    <row r="279" spans="1:2" x14ac:dyDescent="0.3">
      <c r="A279" s="12">
        <v>39507</v>
      </c>
      <c r="B279" s="13">
        <v>100.1</v>
      </c>
    </row>
    <row r="280" spans="1:2" x14ac:dyDescent="0.3">
      <c r="A280" s="12">
        <v>39538</v>
      </c>
      <c r="B280" s="13">
        <v>99</v>
      </c>
    </row>
    <row r="281" spans="1:2" x14ac:dyDescent="0.3">
      <c r="A281" s="12">
        <v>39568</v>
      </c>
      <c r="B281" s="13">
        <v>98</v>
      </c>
    </row>
    <row r="282" spans="1:2" x14ac:dyDescent="0.3">
      <c r="A282" s="12">
        <v>39599</v>
      </c>
      <c r="B282" s="13">
        <v>100.4</v>
      </c>
    </row>
    <row r="283" spans="1:2" x14ac:dyDescent="0.3">
      <c r="A283" s="12">
        <v>39629</v>
      </c>
      <c r="B283" s="13">
        <v>97</v>
      </c>
    </row>
    <row r="284" spans="1:2" x14ac:dyDescent="0.3">
      <c r="A284" s="12">
        <v>39660</v>
      </c>
      <c r="B284" s="13">
        <v>91.5</v>
      </c>
    </row>
    <row r="285" spans="1:2" x14ac:dyDescent="0.3">
      <c r="A285" s="12">
        <v>39691</v>
      </c>
      <c r="B285" s="13">
        <v>92.5</v>
      </c>
    </row>
    <row r="286" spans="1:2" x14ac:dyDescent="0.3">
      <c r="A286" s="12">
        <v>39721</v>
      </c>
      <c r="B286" s="13">
        <v>93.8</v>
      </c>
    </row>
    <row r="287" spans="1:2" x14ac:dyDescent="0.3">
      <c r="A287" s="12">
        <v>39752</v>
      </c>
      <c r="B287" s="13">
        <v>89.7</v>
      </c>
    </row>
    <row r="288" spans="1:2" x14ac:dyDescent="0.3">
      <c r="A288" s="12">
        <v>39782</v>
      </c>
      <c r="B288" s="13">
        <v>81.599999999999994</v>
      </c>
    </row>
    <row r="289" spans="1:2" x14ac:dyDescent="0.3">
      <c r="A289" s="12">
        <v>39813</v>
      </c>
      <c r="B289" s="13">
        <v>76.599999999999994</v>
      </c>
    </row>
    <row r="290" spans="1:2" x14ac:dyDescent="0.3">
      <c r="A290" s="12">
        <v>39844</v>
      </c>
      <c r="B290" s="13">
        <v>76.2</v>
      </c>
    </row>
    <row r="291" spans="1:2" x14ac:dyDescent="0.3">
      <c r="A291" s="12">
        <v>39872</v>
      </c>
      <c r="B291" s="13">
        <v>76.400000000000006</v>
      </c>
    </row>
    <row r="292" spans="1:2" x14ac:dyDescent="0.3">
      <c r="A292" s="12">
        <v>39903</v>
      </c>
      <c r="B292" s="13">
        <v>71.400000000000006</v>
      </c>
    </row>
    <row r="293" spans="1:2" x14ac:dyDescent="0.3">
      <c r="A293" s="12">
        <v>39933</v>
      </c>
      <c r="B293" s="13">
        <v>77.7</v>
      </c>
    </row>
    <row r="294" spans="1:2" x14ac:dyDescent="0.3">
      <c r="A294" s="12">
        <v>39964</v>
      </c>
      <c r="B294" s="13">
        <v>84.6</v>
      </c>
    </row>
    <row r="295" spans="1:2" x14ac:dyDescent="0.3">
      <c r="A295" s="12">
        <v>39994</v>
      </c>
      <c r="B295" s="13">
        <v>83.2</v>
      </c>
    </row>
    <row r="296" spans="1:2" x14ac:dyDescent="0.3">
      <c r="A296" s="12">
        <v>40025</v>
      </c>
      <c r="B296" s="13">
        <v>87.5</v>
      </c>
    </row>
    <row r="297" spans="1:2" x14ac:dyDescent="0.3">
      <c r="A297" s="12">
        <v>40056</v>
      </c>
      <c r="B297" s="13">
        <v>91.3</v>
      </c>
    </row>
    <row r="298" spans="1:2" x14ac:dyDescent="0.3">
      <c r="A298" s="12">
        <v>40086</v>
      </c>
      <c r="B298" s="13">
        <v>93.5</v>
      </c>
    </row>
    <row r="299" spans="1:2" x14ac:dyDescent="0.3">
      <c r="A299" s="12">
        <v>40117</v>
      </c>
      <c r="B299" s="13">
        <v>95.5</v>
      </c>
    </row>
    <row r="300" spans="1:2" x14ac:dyDescent="0.3">
      <c r="A300" s="12">
        <v>40147</v>
      </c>
      <c r="B300" s="13">
        <v>96.8</v>
      </c>
    </row>
    <row r="301" spans="1:2" x14ac:dyDescent="0.3">
      <c r="A301" s="12">
        <v>40178</v>
      </c>
      <c r="B301" s="13">
        <v>97.8</v>
      </c>
    </row>
    <row r="302" spans="1:2" x14ac:dyDescent="0.3">
      <c r="A302" s="12">
        <v>40209</v>
      </c>
      <c r="B302" s="13">
        <v>101</v>
      </c>
    </row>
    <row r="303" spans="1:2" x14ac:dyDescent="0.3">
      <c r="A303" s="12">
        <v>40237</v>
      </c>
      <c r="B303" s="13">
        <v>101.2</v>
      </c>
    </row>
    <row r="304" spans="1:2" x14ac:dyDescent="0.3">
      <c r="A304" s="12">
        <v>40268</v>
      </c>
      <c r="B304" s="13">
        <v>100.4</v>
      </c>
    </row>
    <row r="305" spans="1:2" x14ac:dyDescent="0.3">
      <c r="A305" s="12">
        <v>40298</v>
      </c>
      <c r="B305" s="13">
        <v>102.3</v>
      </c>
    </row>
    <row r="306" spans="1:2" x14ac:dyDescent="0.3">
      <c r="A306" s="12">
        <v>40329</v>
      </c>
      <c r="B306" s="13">
        <v>102.3</v>
      </c>
    </row>
    <row r="307" spans="1:2" x14ac:dyDescent="0.3">
      <c r="A307" s="12">
        <v>40359</v>
      </c>
      <c r="B307" s="13">
        <v>101.7</v>
      </c>
    </row>
    <row r="308" spans="1:2" x14ac:dyDescent="0.3">
      <c r="A308" s="12">
        <v>40390</v>
      </c>
      <c r="B308" s="13">
        <v>101.6</v>
      </c>
    </row>
    <row r="309" spans="1:2" x14ac:dyDescent="0.3">
      <c r="A309" s="12">
        <v>40421</v>
      </c>
      <c r="B309" s="13">
        <v>101.3</v>
      </c>
    </row>
    <row r="310" spans="1:2" x14ac:dyDescent="0.3">
      <c r="A310" s="12">
        <v>40451</v>
      </c>
      <c r="B310" s="13">
        <v>101.5</v>
      </c>
    </row>
    <row r="311" spans="1:2" x14ac:dyDescent="0.3">
      <c r="A311" s="12">
        <v>40482</v>
      </c>
      <c r="B311" s="13">
        <v>100.9</v>
      </c>
    </row>
    <row r="312" spans="1:2" x14ac:dyDescent="0.3">
      <c r="A312" s="12">
        <v>40512</v>
      </c>
      <c r="B312" s="13">
        <v>101.1</v>
      </c>
    </row>
    <row r="313" spans="1:2" x14ac:dyDescent="0.3">
      <c r="A313" s="12">
        <v>40543</v>
      </c>
      <c r="B313" s="13">
        <v>103.9</v>
      </c>
    </row>
    <row r="314" spans="1:2" x14ac:dyDescent="0.3">
      <c r="A314" s="12">
        <v>40574</v>
      </c>
      <c r="B314" s="13">
        <v>103.3</v>
      </c>
    </row>
    <row r="315" spans="1:2" x14ac:dyDescent="0.3">
      <c r="A315" s="12">
        <v>40602</v>
      </c>
      <c r="B315" s="13">
        <v>101.5</v>
      </c>
    </row>
    <row r="316" spans="1:2" x14ac:dyDescent="0.3">
      <c r="A316" s="12">
        <v>40633</v>
      </c>
      <c r="B316" s="13">
        <v>99.2</v>
      </c>
    </row>
    <row r="317" spans="1:2" x14ac:dyDescent="0.3">
      <c r="A317" s="12">
        <v>40663</v>
      </c>
      <c r="B317" s="13">
        <v>101.3</v>
      </c>
    </row>
    <row r="318" spans="1:2" x14ac:dyDescent="0.3">
      <c r="A318" s="12">
        <v>40694</v>
      </c>
      <c r="B318" s="13">
        <v>100</v>
      </c>
    </row>
    <row r="319" spans="1:2" x14ac:dyDescent="0.3">
      <c r="A319" s="12">
        <v>40724</v>
      </c>
      <c r="B319" s="13">
        <v>99.5</v>
      </c>
    </row>
    <row r="320" spans="1:2" x14ac:dyDescent="0.3">
      <c r="A320" s="12">
        <v>40755</v>
      </c>
      <c r="B320" s="13">
        <v>95.4</v>
      </c>
    </row>
    <row r="321" spans="1:2" x14ac:dyDescent="0.3">
      <c r="A321" s="12">
        <v>40786</v>
      </c>
      <c r="B321" s="13">
        <v>94.2</v>
      </c>
    </row>
    <row r="322" spans="1:2" x14ac:dyDescent="0.3">
      <c r="A322" s="12">
        <v>40816</v>
      </c>
      <c r="B322" s="13">
        <v>89.1</v>
      </c>
    </row>
    <row r="323" spans="1:2" x14ac:dyDescent="0.3">
      <c r="A323" s="12">
        <v>40847</v>
      </c>
      <c r="B323" s="13">
        <v>89.9</v>
      </c>
    </row>
    <row r="324" spans="1:2" x14ac:dyDescent="0.3">
      <c r="A324" s="12">
        <v>40877</v>
      </c>
      <c r="B324" s="13">
        <v>90.9</v>
      </c>
    </row>
    <row r="325" spans="1:2" x14ac:dyDescent="0.3">
      <c r="A325" s="12">
        <v>40908</v>
      </c>
      <c r="B325" s="13">
        <v>82.9</v>
      </c>
    </row>
    <row r="326" spans="1:2" x14ac:dyDescent="0.3">
      <c r="A326" s="12">
        <v>40939</v>
      </c>
      <c r="B326" s="13">
        <v>83.1</v>
      </c>
    </row>
    <row r="327" spans="1:2" x14ac:dyDescent="0.3">
      <c r="A327" s="12">
        <v>40968</v>
      </c>
      <c r="B327" s="13">
        <v>83.1</v>
      </c>
    </row>
    <row r="328" spans="1:2" x14ac:dyDescent="0.3">
      <c r="A328" s="12">
        <v>40999</v>
      </c>
      <c r="B328" s="13">
        <v>85.8</v>
      </c>
    </row>
    <row r="329" spans="1:2" x14ac:dyDescent="0.3">
      <c r="A329" s="12">
        <v>41029</v>
      </c>
      <c r="B329" s="13">
        <v>80.2</v>
      </c>
    </row>
    <row r="330" spans="1:2" x14ac:dyDescent="0.3">
      <c r="A330" s="12">
        <v>41060</v>
      </c>
      <c r="B330" s="13">
        <v>76.599999999999994</v>
      </c>
    </row>
    <row r="331" spans="1:2" x14ac:dyDescent="0.3">
      <c r="A331" s="12">
        <v>41090</v>
      </c>
      <c r="B331" s="13">
        <v>80.2</v>
      </c>
    </row>
    <row r="332" spans="1:2" x14ac:dyDescent="0.3">
      <c r="A332" s="12">
        <v>41121</v>
      </c>
      <c r="B332" s="13">
        <v>78.8</v>
      </c>
    </row>
    <row r="333" spans="1:2" x14ac:dyDescent="0.3">
      <c r="A333" s="12">
        <v>41152</v>
      </c>
      <c r="B333" s="13">
        <v>79</v>
      </c>
    </row>
    <row r="334" spans="1:2" x14ac:dyDescent="0.3">
      <c r="A334" s="12">
        <v>41182</v>
      </c>
      <c r="B334" s="13">
        <v>77.5</v>
      </c>
    </row>
    <row r="335" spans="1:2" x14ac:dyDescent="0.3">
      <c r="A335" s="12">
        <v>41213</v>
      </c>
      <c r="B335" s="13">
        <v>78.900000000000006</v>
      </c>
    </row>
    <row r="336" spans="1:2" x14ac:dyDescent="0.3">
      <c r="A336" s="12">
        <v>41243</v>
      </c>
      <c r="B336" s="13">
        <v>79.7</v>
      </c>
    </row>
    <row r="337" spans="1:2" x14ac:dyDescent="0.3">
      <c r="A337" s="12">
        <v>41274</v>
      </c>
      <c r="B337" s="13">
        <v>80.2</v>
      </c>
    </row>
    <row r="338" spans="1:2" x14ac:dyDescent="0.3">
      <c r="A338" s="12">
        <v>41305</v>
      </c>
      <c r="B338" s="13">
        <v>79.599999999999994</v>
      </c>
    </row>
    <row r="339" spans="1:2" x14ac:dyDescent="0.3">
      <c r="A339" s="12">
        <v>41333</v>
      </c>
      <c r="B339" s="13">
        <v>78.900000000000006</v>
      </c>
    </row>
    <row r="340" spans="1:2" x14ac:dyDescent="0.3">
      <c r="A340" s="12">
        <v>41364</v>
      </c>
      <c r="B340" s="13">
        <v>80.8</v>
      </c>
    </row>
    <row r="341" spans="1:2" x14ac:dyDescent="0.3">
      <c r="A341" s="12">
        <v>41394</v>
      </c>
      <c r="B341" s="13">
        <v>79.099999999999994</v>
      </c>
    </row>
    <row r="342" spans="1:2" x14ac:dyDescent="0.3">
      <c r="A342" s="12">
        <v>41425</v>
      </c>
      <c r="B342" s="13">
        <v>80.3</v>
      </c>
    </row>
    <row r="343" spans="1:2" x14ac:dyDescent="0.3">
      <c r="A343" s="12">
        <v>41455</v>
      </c>
      <c r="B343" s="13">
        <v>82.6</v>
      </c>
    </row>
    <row r="344" spans="1:2" x14ac:dyDescent="0.3">
      <c r="A344" s="12">
        <v>41486</v>
      </c>
      <c r="B344" s="13">
        <v>84.5</v>
      </c>
    </row>
    <row r="345" spans="1:2" x14ac:dyDescent="0.3">
      <c r="A345" s="12">
        <v>41517</v>
      </c>
      <c r="B345" s="13">
        <v>88.7</v>
      </c>
    </row>
    <row r="346" spans="1:2" x14ac:dyDescent="0.3">
      <c r="A346" s="12">
        <v>41547</v>
      </c>
      <c r="B346" s="13">
        <v>93.5</v>
      </c>
    </row>
    <row r="347" spans="1:2" x14ac:dyDescent="0.3">
      <c r="A347" s="12">
        <v>41578</v>
      </c>
      <c r="B347" s="13">
        <v>90.3</v>
      </c>
    </row>
    <row r="348" spans="1:2" x14ac:dyDescent="0.3">
      <c r="A348" s="12">
        <v>41608</v>
      </c>
      <c r="B348" s="13">
        <v>93.5</v>
      </c>
    </row>
    <row r="349" spans="1:2" x14ac:dyDescent="0.3">
      <c r="A349" s="12">
        <v>41639</v>
      </c>
      <c r="B349" s="13">
        <v>93.6</v>
      </c>
    </row>
    <row r="350" spans="1:2" x14ac:dyDescent="0.3">
      <c r="A350" s="12">
        <v>41670</v>
      </c>
      <c r="B350" s="13">
        <v>94.6</v>
      </c>
    </row>
    <row r="351" spans="1:2" x14ac:dyDescent="0.3">
      <c r="A351" s="12">
        <v>41698</v>
      </c>
      <c r="B351" s="13">
        <v>95.2</v>
      </c>
    </row>
    <row r="352" spans="1:2" x14ac:dyDescent="0.3">
      <c r="A352" s="12">
        <v>41729</v>
      </c>
      <c r="B352" s="13">
        <v>96.8</v>
      </c>
    </row>
    <row r="353" spans="1:2" x14ac:dyDescent="0.3">
      <c r="A353" s="12">
        <v>41759</v>
      </c>
      <c r="B353" s="13">
        <v>96.5</v>
      </c>
    </row>
    <row r="354" spans="1:2" x14ac:dyDescent="0.3">
      <c r="A354" s="12">
        <v>41790</v>
      </c>
      <c r="B354" s="13">
        <v>97.6</v>
      </c>
    </row>
    <row r="355" spans="1:2" x14ac:dyDescent="0.3">
      <c r="A355" s="12">
        <v>41820</v>
      </c>
      <c r="B355" s="13">
        <v>96.8</v>
      </c>
    </row>
    <row r="356" spans="1:2" x14ac:dyDescent="0.3">
      <c r="A356" s="12">
        <v>41851</v>
      </c>
      <c r="B356" s="13">
        <v>96.8</v>
      </c>
    </row>
    <row r="357" spans="1:2" x14ac:dyDescent="0.3">
      <c r="A357" s="12">
        <v>41882</v>
      </c>
      <c r="B357" s="13">
        <v>91.7</v>
      </c>
    </row>
    <row r="358" spans="1:2" x14ac:dyDescent="0.3">
      <c r="A358" s="12">
        <v>41912</v>
      </c>
      <c r="B358" s="13">
        <v>91.5</v>
      </c>
    </row>
    <row r="359" spans="1:2" x14ac:dyDescent="0.3">
      <c r="A359" s="12">
        <v>41943</v>
      </c>
      <c r="B359" s="13">
        <v>92.1</v>
      </c>
    </row>
    <row r="360" spans="1:2" x14ac:dyDescent="0.3">
      <c r="A360" s="12">
        <v>41973</v>
      </c>
      <c r="B360" s="13">
        <v>92.1</v>
      </c>
    </row>
    <row r="361" spans="1:2" x14ac:dyDescent="0.3">
      <c r="A361" s="12">
        <v>42004</v>
      </c>
      <c r="B361" s="13">
        <v>91.9</v>
      </c>
    </row>
    <row r="362" spans="1:2" x14ac:dyDescent="0.3">
      <c r="A362" s="12">
        <v>42035</v>
      </c>
      <c r="B362" s="13">
        <v>94.8</v>
      </c>
    </row>
    <row r="363" spans="1:2" x14ac:dyDescent="0.3">
      <c r="A363" s="12">
        <v>42063</v>
      </c>
      <c r="B363" s="13">
        <v>98</v>
      </c>
    </row>
    <row r="364" spans="1:2" x14ac:dyDescent="0.3">
      <c r="A364" s="12">
        <v>42094</v>
      </c>
      <c r="B364" s="13">
        <v>102.7</v>
      </c>
    </row>
    <row r="365" spans="1:2" x14ac:dyDescent="0.3">
      <c r="A365" s="12">
        <v>42124</v>
      </c>
      <c r="B365" s="13">
        <v>101.8</v>
      </c>
    </row>
    <row r="366" spans="1:2" x14ac:dyDescent="0.3">
      <c r="A366" s="12">
        <v>42155</v>
      </c>
      <c r="B366" s="13">
        <v>101.6</v>
      </c>
    </row>
    <row r="367" spans="1:2" x14ac:dyDescent="0.3">
      <c r="A367" s="12">
        <v>42185</v>
      </c>
      <c r="B367" s="13">
        <v>103.8</v>
      </c>
    </row>
    <row r="368" spans="1:2" x14ac:dyDescent="0.3">
      <c r="A368" s="12">
        <v>42216</v>
      </c>
      <c r="B368" s="13">
        <v>102.6</v>
      </c>
    </row>
    <row r="369" spans="1:2" x14ac:dyDescent="0.3">
      <c r="A369" s="12">
        <v>42247</v>
      </c>
      <c r="B369" s="13">
        <v>103.1</v>
      </c>
    </row>
    <row r="370" spans="1:2" x14ac:dyDescent="0.3">
      <c r="A370" s="12">
        <v>42277</v>
      </c>
      <c r="B370" s="13">
        <v>106.5</v>
      </c>
    </row>
    <row r="371" spans="1:2" x14ac:dyDescent="0.3">
      <c r="A371" s="12">
        <v>42308</v>
      </c>
      <c r="B371" s="13">
        <v>106.9</v>
      </c>
    </row>
    <row r="372" spans="1:2" x14ac:dyDescent="0.3">
      <c r="A372" s="12">
        <v>42338</v>
      </c>
      <c r="B372" s="13">
        <v>107</v>
      </c>
    </row>
    <row r="373" spans="1:2" x14ac:dyDescent="0.3">
      <c r="A373" s="12">
        <v>42369</v>
      </c>
      <c r="B373" s="13">
        <v>105.7</v>
      </c>
    </row>
    <row r="374" spans="1:2" x14ac:dyDescent="0.3">
      <c r="A374" s="12">
        <v>42400</v>
      </c>
      <c r="B374" s="13">
        <v>103.9</v>
      </c>
    </row>
    <row r="375" spans="1:2" x14ac:dyDescent="0.3">
      <c r="A375" s="12">
        <v>42429</v>
      </c>
      <c r="B375" s="13">
        <v>104</v>
      </c>
    </row>
    <row r="376" spans="1:2" x14ac:dyDescent="0.3">
      <c r="A376" s="12">
        <v>42460</v>
      </c>
      <c r="B376" s="13">
        <v>102.2</v>
      </c>
    </row>
    <row r="377" spans="1:2" x14ac:dyDescent="0.3">
      <c r="A377" s="12">
        <v>42490</v>
      </c>
      <c r="B377" s="13">
        <v>106.1</v>
      </c>
    </row>
    <row r="378" spans="1:2" x14ac:dyDescent="0.3">
      <c r="A378" s="12">
        <v>42521</v>
      </c>
      <c r="B378" s="13">
        <v>105.1</v>
      </c>
    </row>
    <row r="379" spans="1:2" x14ac:dyDescent="0.3">
      <c r="A379" s="12">
        <v>42551</v>
      </c>
      <c r="B379" s="13">
        <v>104</v>
      </c>
    </row>
    <row r="380" spans="1:2" x14ac:dyDescent="0.3">
      <c r="A380" s="12">
        <v>42582</v>
      </c>
      <c r="B380" s="13">
        <v>104</v>
      </c>
    </row>
    <row r="381" spans="1:2" x14ac:dyDescent="0.3">
      <c r="A381" s="12">
        <v>42613</v>
      </c>
      <c r="B381" s="13">
        <v>101.5</v>
      </c>
    </row>
    <row r="382" spans="1:2" x14ac:dyDescent="0.3">
      <c r="A382" s="12">
        <v>42643</v>
      </c>
      <c r="B382" s="13">
        <v>101.3</v>
      </c>
    </row>
    <row r="383" spans="1:2" x14ac:dyDescent="0.3">
      <c r="A383" s="12">
        <v>42674</v>
      </c>
      <c r="B383" s="13">
        <v>102.2</v>
      </c>
    </row>
    <row r="384" spans="1:2" x14ac:dyDescent="0.3">
      <c r="A384" s="12">
        <v>42704</v>
      </c>
      <c r="B384" s="13">
        <v>102.3</v>
      </c>
    </row>
    <row r="385" spans="1:2" x14ac:dyDescent="0.3">
      <c r="A385" s="12">
        <v>42735</v>
      </c>
      <c r="B385" s="13">
        <v>101.5</v>
      </c>
    </row>
    <row r="386" spans="1:2" x14ac:dyDescent="0.3">
      <c r="A386" s="12">
        <v>42766</v>
      </c>
      <c r="B386" s="13">
        <v>105.1</v>
      </c>
    </row>
    <row r="387" spans="1:2" x14ac:dyDescent="0.3">
      <c r="A387" s="12">
        <v>42794</v>
      </c>
      <c r="B387" s="13">
        <v>104.7</v>
      </c>
    </row>
    <row r="388" spans="1:2" x14ac:dyDescent="0.3">
      <c r="A388" s="12">
        <v>42825</v>
      </c>
      <c r="B388" s="13">
        <v>106.4</v>
      </c>
    </row>
    <row r="389" spans="1:2" x14ac:dyDescent="0.3">
      <c r="A389" s="12">
        <v>42855</v>
      </c>
      <c r="B389" s="13">
        <v>107.5</v>
      </c>
    </row>
    <row r="390" spans="1:2" x14ac:dyDescent="0.3">
      <c r="A390" s="12">
        <v>42886</v>
      </c>
      <c r="B390" s="13">
        <v>106.9</v>
      </c>
    </row>
    <row r="391" spans="1:2" x14ac:dyDescent="0.3">
      <c r="A391" s="12">
        <v>42916</v>
      </c>
      <c r="B391" s="13">
        <v>106.3</v>
      </c>
    </row>
    <row r="392" spans="1:2" x14ac:dyDescent="0.3">
      <c r="A392" s="12">
        <v>42947</v>
      </c>
      <c r="B392" s="13">
        <v>105.2</v>
      </c>
    </row>
    <row r="393" spans="1:2" x14ac:dyDescent="0.3">
      <c r="A393" s="12">
        <v>42978</v>
      </c>
      <c r="B393" s="13">
        <v>109.8</v>
      </c>
    </row>
    <row r="394" spans="1:2" x14ac:dyDescent="0.3">
      <c r="A394" s="12">
        <v>43008</v>
      </c>
      <c r="B394" s="13">
        <v>110.5</v>
      </c>
    </row>
    <row r="395" spans="1:2" x14ac:dyDescent="0.3">
      <c r="A395" s="12">
        <v>43039</v>
      </c>
      <c r="B395" s="13">
        <v>111.9</v>
      </c>
    </row>
    <row r="396" spans="1:2" x14ac:dyDescent="0.3">
      <c r="A396" s="12">
        <v>43069</v>
      </c>
      <c r="B396" s="13">
        <v>111.6</v>
      </c>
    </row>
    <row r="397" spans="1:2" x14ac:dyDescent="0.3">
      <c r="A397" s="12">
        <v>43100</v>
      </c>
      <c r="B397" s="13">
        <v>111.1</v>
      </c>
    </row>
    <row r="398" spans="1:2" x14ac:dyDescent="0.3">
      <c r="A398" s="12">
        <v>43131</v>
      </c>
      <c r="B398" s="13">
        <v>108.4</v>
      </c>
    </row>
    <row r="399" spans="1:2" x14ac:dyDescent="0.3">
      <c r="A399" s="12">
        <v>43159</v>
      </c>
      <c r="B399" s="13">
        <v>110.7</v>
      </c>
    </row>
    <row r="400" spans="1:2" x14ac:dyDescent="0.3">
      <c r="A400" s="12">
        <v>43190</v>
      </c>
      <c r="B400" s="13">
        <v>108.9</v>
      </c>
    </row>
    <row r="401" spans="1:2" x14ac:dyDescent="0.3">
      <c r="A401" s="12">
        <v>43220</v>
      </c>
      <c r="B401" s="13">
        <v>110</v>
      </c>
    </row>
    <row r="402" spans="1:2" x14ac:dyDescent="0.3">
      <c r="A402" s="12">
        <v>43251</v>
      </c>
      <c r="B402" s="13">
        <v>107.1</v>
      </c>
    </row>
    <row r="403" spans="1:2" x14ac:dyDescent="0.3">
      <c r="A403" s="12">
        <v>43281</v>
      </c>
      <c r="B403" s="13">
        <v>108.2</v>
      </c>
    </row>
    <row r="404" spans="1:2" x14ac:dyDescent="0.3">
      <c r="A404" s="12">
        <v>43312</v>
      </c>
      <c r="B404" s="13">
        <v>107.8</v>
      </c>
    </row>
    <row r="405" spans="1:2" x14ac:dyDescent="0.3">
      <c r="A405" s="12">
        <v>43343</v>
      </c>
      <c r="B405" s="13">
        <v>107</v>
      </c>
    </row>
    <row r="406" spans="1:2" x14ac:dyDescent="0.3">
      <c r="A406" s="12">
        <v>43373</v>
      </c>
      <c r="B406" s="13">
        <v>107</v>
      </c>
    </row>
    <row r="407" spans="1:2" x14ac:dyDescent="0.3">
      <c r="A407" s="12">
        <v>43404</v>
      </c>
      <c r="B407" s="13">
        <v>106.2</v>
      </c>
    </row>
    <row r="408" spans="1:2" x14ac:dyDescent="0.3">
      <c r="A408" s="12">
        <v>43434</v>
      </c>
      <c r="B408" s="13">
        <v>104.7</v>
      </c>
    </row>
    <row r="409" spans="1:2" x14ac:dyDescent="0.3">
      <c r="A409" s="12">
        <v>43465</v>
      </c>
      <c r="B409" s="13">
        <v>102.8</v>
      </c>
    </row>
    <row r="410" spans="1:2" x14ac:dyDescent="0.3">
      <c r="A410" s="12">
        <v>43496</v>
      </c>
      <c r="B410" s="13">
        <v>102</v>
      </c>
    </row>
    <row r="411" spans="1:2" x14ac:dyDescent="0.3">
      <c r="A411" s="12">
        <v>43524</v>
      </c>
      <c r="B411" s="13">
        <v>100.5</v>
      </c>
    </row>
    <row r="412" spans="1:2" x14ac:dyDescent="0.3">
      <c r="A412" s="12">
        <v>43555</v>
      </c>
      <c r="B412" s="13">
        <v>101.3</v>
      </c>
    </row>
    <row r="413" spans="1:2" x14ac:dyDescent="0.3">
      <c r="A413" s="12">
        <v>43585</v>
      </c>
      <c r="B413" s="13">
        <v>101.9</v>
      </c>
    </row>
    <row r="414" spans="1:2" x14ac:dyDescent="0.3">
      <c r="A414" s="12">
        <v>43616</v>
      </c>
      <c r="B414" s="13">
        <v>102.9</v>
      </c>
    </row>
    <row r="415" spans="1:2" x14ac:dyDescent="0.3">
      <c r="A415" s="12">
        <v>43646</v>
      </c>
      <c r="B415" s="13">
        <v>100.8</v>
      </c>
    </row>
    <row r="416" spans="1:2" x14ac:dyDescent="0.3">
      <c r="A416" s="12">
        <v>43677</v>
      </c>
      <c r="B416" s="13">
        <v>102.4</v>
      </c>
    </row>
    <row r="417" spans="1:2" x14ac:dyDescent="0.3">
      <c r="A417" s="12">
        <v>43708</v>
      </c>
      <c r="B417" s="13">
        <v>100.7</v>
      </c>
    </row>
    <row r="418" spans="1:2" x14ac:dyDescent="0.3">
      <c r="A418" s="12">
        <v>43738</v>
      </c>
      <c r="B418" s="13">
        <v>99.9</v>
      </c>
    </row>
    <row r="419" spans="1:2" x14ac:dyDescent="0.3">
      <c r="A419" s="12">
        <v>43769</v>
      </c>
      <c r="B419" s="13">
        <v>100.3</v>
      </c>
    </row>
    <row r="420" spans="1:2" x14ac:dyDescent="0.3">
      <c r="A420" s="12">
        <v>43799</v>
      </c>
      <c r="B420" s="13">
        <v>100</v>
      </c>
    </row>
    <row r="421" spans="1:2" x14ac:dyDescent="0.3">
      <c r="A421" s="12">
        <v>43830</v>
      </c>
      <c r="B421" s="13">
        <v>100.7</v>
      </c>
    </row>
    <row r="422" spans="1:2" x14ac:dyDescent="0.3">
      <c r="A422" s="12">
        <v>43861</v>
      </c>
      <c r="B422" s="13">
        <v>100.3</v>
      </c>
    </row>
    <row r="423" spans="1:2" x14ac:dyDescent="0.3">
      <c r="A423" s="12">
        <v>43890</v>
      </c>
      <c r="B423" s="13">
        <v>100.4</v>
      </c>
    </row>
    <row r="424" spans="1:2" x14ac:dyDescent="0.3">
      <c r="A424" s="12">
        <v>43921</v>
      </c>
      <c r="B424" s="13">
        <v>80.099999999999994</v>
      </c>
    </row>
    <row r="425" spans="1:2" x14ac:dyDescent="0.3">
      <c r="A425" s="12">
        <v>43951</v>
      </c>
      <c r="B425" s="14" t="s">
        <v>529</v>
      </c>
    </row>
    <row r="426" spans="1:2" x14ac:dyDescent="0.3">
      <c r="A426" s="12">
        <v>43982</v>
      </c>
      <c r="B426" s="13">
        <v>56</v>
      </c>
    </row>
    <row r="427" spans="1:2" x14ac:dyDescent="0.3">
      <c r="A427" s="12">
        <v>44012</v>
      </c>
      <c r="B427" s="13">
        <v>69.2</v>
      </c>
    </row>
    <row r="428" spans="1:2" x14ac:dyDescent="0.3">
      <c r="A428" s="12">
        <v>44043</v>
      </c>
      <c r="B428" s="13">
        <v>78.099999999999994</v>
      </c>
    </row>
    <row r="429" spans="1:2" x14ac:dyDescent="0.3">
      <c r="A429" s="12">
        <v>44074</v>
      </c>
      <c r="B429" s="13">
        <v>82</v>
      </c>
    </row>
    <row r="430" spans="1:2" x14ac:dyDescent="0.3">
      <c r="A430" s="12">
        <v>44104</v>
      </c>
      <c r="B430" s="13">
        <v>92.8</v>
      </c>
    </row>
    <row r="431" spans="1:2" x14ac:dyDescent="0.3">
      <c r="A431" s="12">
        <v>44135</v>
      </c>
      <c r="B431" s="13">
        <v>94</v>
      </c>
    </row>
    <row r="432" spans="1:2" x14ac:dyDescent="0.3">
      <c r="A432" s="12">
        <v>44165</v>
      </c>
      <c r="B432" s="13">
        <v>83.7</v>
      </c>
    </row>
    <row r="433" spans="1:2" x14ac:dyDescent="0.3">
      <c r="A433" s="12">
        <v>44196</v>
      </c>
      <c r="B433" s="13">
        <v>92.3</v>
      </c>
    </row>
    <row r="434" spans="1:2" x14ac:dyDescent="0.3">
      <c r="A434" s="12">
        <v>44227</v>
      </c>
      <c r="B434" s="13">
        <v>96.4</v>
      </c>
    </row>
    <row r="435" spans="1:2" x14ac:dyDescent="0.3">
      <c r="A435" s="12">
        <v>44255</v>
      </c>
      <c r="B435" s="13">
        <v>99.1</v>
      </c>
    </row>
    <row r="436" spans="1:2" x14ac:dyDescent="0.3">
      <c r="A436" s="12">
        <v>44286</v>
      </c>
      <c r="B436" s="13">
        <v>101.6</v>
      </c>
    </row>
    <row r="437" spans="1:2" x14ac:dyDescent="0.3">
      <c r="A437" s="12">
        <v>44316</v>
      </c>
      <c r="B437" s="13">
        <v>105.7</v>
      </c>
    </row>
    <row r="438" spans="1:2" x14ac:dyDescent="0.3">
      <c r="A438" s="12">
        <v>44347</v>
      </c>
      <c r="B438" s="13">
        <v>114</v>
      </c>
    </row>
    <row r="439" spans="1:2" x14ac:dyDescent="0.3">
      <c r="A439" s="12">
        <v>44377</v>
      </c>
      <c r="B439" s="13">
        <v>117.5</v>
      </c>
    </row>
    <row r="440" spans="1:2" x14ac:dyDescent="0.3">
      <c r="A440" s="12">
        <v>44408</v>
      </c>
      <c r="B440" s="13">
        <v>119.7</v>
      </c>
    </row>
    <row r="441" spans="1:2" x14ac:dyDescent="0.3">
      <c r="A441" s="12">
        <v>44439</v>
      </c>
      <c r="B441" s="13">
        <v>118</v>
      </c>
    </row>
    <row r="442" spans="1:2" x14ac:dyDescent="0.3">
      <c r="A442" s="12">
        <v>44469</v>
      </c>
      <c r="B442" s="13">
        <v>119.1</v>
      </c>
    </row>
    <row r="443" spans="1:2" x14ac:dyDescent="0.3">
      <c r="A443" s="12">
        <v>44500</v>
      </c>
      <c r="B443" s="13">
        <v>120.9</v>
      </c>
    </row>
    <row r="444" spans="1:2" x14ac:dyDescent="0.3">
      <c r="A444" s="12">
        <v>44530</v>
      </c>
      <c r="B444" s="13">
        <v>118.7</v>
      </c>
    </row>
    <row r="445" spans="1:2" x14ac:dyDescent="0.3">
      <c r="A445" s="12">
        <v>44561</v>
      </c>
      <c r="B445" s="13">
        <v>118.5</v>
      </c>
    </row>
    <row r="446" spans="1:2" x14ac:dyDescent="0.3">
      <c r="A446" s="12">
        <v>44592</v>
      </c>
      <c r="B446" s="13">
        <v>110.8</v>
      </c>
    </row>
    <row r="447" spans="1:2" x14ac:dyDescent="0.3">
      <c r="A447" s="12">
        <v>44620</v>
      </c>
      <c r="B447" s="13">
        <v>112.4</v>
      </c>
    </row>
    <row r="448" spans="1:2" x14ac:dyDescent="0.3">
      <c r="A448" s="12">
        <v>44651</v>
      </c>
      <c r="B448" s="13">
        <v>103.8</v>
      </c>
    </row>
    <row r="449" spans="1:2" x14ac:dyDescent="0.3">
      <c r="A449" s="12">
        <v>44681</v>
      </c>
      <c r="B449" s="13">
        <v>104.5</v>
      </c>
    </row>
    <row r="450" spans="1:2" x14ac:dyDescent="0.3">
      <c r="A450" s="12">
        <v>44712</v>
      </c>
      <c r="B450" s="13">
        <v>105.6</v>
      </c>
    </row>
    <row r="451" spans="1:2" x14ac:dyDescent="0.3">
      <c r="A451" s="12">
        <v>44742</v>
      </c>
      <c r="B451" s="13">
        <v>104.5</v>
      </c>
    </row>
    <row r="452" spans="1:2" x14ac:dyDescent="0.3">
      <c r="A452" s="12">
        <v>44773</v>
      </c>
      <c r="B452" s="13">
        <v>100.4</v>
      </c>
    </row>
    <row r="453" spans="1:2" x14ac:dyDescent="0.3">
      <c r="A453" s="12">
        <v>44804</v>
      </c>
      <c r="B453" s="13">
        <v>100</v>
      </c>
    </row>
    <row r="454" spans="1:2" x14ac:dyDescent="0.3">
      <c r="A454" s="12">
        <v>44834</v>
      </c>
      <c r="B454" s="13">
        <v>95.6</v>
      </c>
    </row>
    <row r="455" spans="1:2" x14ac:dyDescent="0.3">
      <c r="A455" s="12">
        <v>44865</v>
      </c>
      <c r="B455" s="13">
        <v>95.1</v>
      </c>
    </row>
    <row r="456" spans="1:2" x14ac:dyDescent="0.3">
      <c r="A456" s="12">
        <v>44895</v>
      </c>
      <c r="B456" s="13">
        <v>100</v>
      </c>
    </row>
    <row r="457" spans="1:2" x14ac:dyDescent="0.3">
      <c r="A457" s="12">
        <v>44926</v>
      </c>
      <c r="B457" s="13">
        <v>101.1</v>
      </c>
    </row>
    <row r="458" spans="1:2" x14ac:dyDescent="0.3">
      <c r="A458" s="12">
        <v>44957</v>
      </c>
      <c r="B458" s="13">
        <v>101.5</v>
      </c>
    </row>
    <row r="459" spans="1:2" x14ac:dyDescent="0.3">
      <c r="A459" s="12">
        <v>44985</v>
      </c>
      <c r="B459" s="13">
        <v>102.3</v>
      </c>
    </row>
    <row r="460" spans="1:2" x14ac:dyDescent="0.3">
      <c r="A460" s="12">
        <v>45016</v>
      </c>
      <c r="B460" s="13">
        <v>104</v>
      </c>
    </row>
    <row r="461" spans="1:2" x14ac:dyDescent="0.3">
      <c r="A461" s="12">
        <v>45046</v>
      </c>
      <c r="B461" s="13">
        <v>104.7</v>
      </c>
    </row>
    <row r="462" spans="1:2" x14ac:dyDescent="0.3">
      <c r="A462" s="12">
        <v>45077</v>
      </c>
      <c r="B462" s="13">
        <v>101.3</v>
      </c>
    </row>
    <row r="463" spans="1:2" x14ac:dyDescent="0.3">
      <c r="A463" s="12">
        <v>45107</v>
      </c>
      <c r="B463" s="13">
        <v>100.7</v>
      </c>
    </row>
    <row r="464" spans="1:2" x14ac:dyDescent="0.3">
      <c r="A464" s="12">
        <v>45138</v>
      </c>
      <c r="B464" s="13">
        <v>100.3</v>
      </c>
    </row>
    <row r="465" spans="1:2" x14ac:dyDescent="0.3">
      <c r="A465" s="12">
        <v>45169</v>
      </c>
      <c r="B465" s="13">
        <v>100</v>
      </c>
    </row>
    <row r="466" spans="1:2" x14ac:dyDescent="0.3">
      <c r="A466" s="12">
        <v>45199</v>
      </c>
      <c r="B466" s="13">
        <v>97.9</v>
      </c>
    </row>
    <row r="467" spans="1:2" x14ac:dyDescent="0.3">
      <c r="A467" s="12">
        <v>45230</v>
      </c>
      <c r="B467" s="13">
        <v>97.2</v>
      </c>
    </row>
    <row r="468" spans="1:2" x14ac:dyDescent="0.3">
      <c r="A468" s="12">
        <v>45260</v>
      </c>
      <c r="B468" s="13">
        <v>97.2</v>
      </c>
    </row>
    <row r="469" spans="1:2" x14ac:dyDescent="0.3">
      <c r="A469" s="12">
        <v>45291</v>
      </c>
      <c r="B469" s="13">
        <v>99.2</v>
      </c>
    </row>
    <row r="470" spans="1:2" x14ac:dyDescent="0.3">
      <c r="A470" s="12">
        <v>45322</v>
      </c>
      <c r="B470" s="13">
        <v>100.5</v>
      </c>
    </row>
    <row r="471" spans="1:2" x14ac:dyDescent="0.3">
      <c r="A471" s="12">
        <v>45351</v>
      </c>
      <c r="B471" s="13">
        <v>99.1</v>
      </c>
    </row>
    <row r="472" spans="1:2" x14ac:dyDescent="0.3">
      <c r="A472" s="12">
        <v>45382</v>
      </c>
      <c r="B472" s="13">
        <v>100.9</v>
      </c>
    </row>
    <row r="473" spans="1:2" x14ac:dyDescent="0.3">
      <c r="A473" s="12">
        <v>45412</v>
      </c>
      <c r="B473" s="13">
        <v>100.2</v>
      </c>
    </row>
    <row r="474" spans="1:2" x14ac:dyDescent="0.3">
      <c r="A474" s="12">
        <v>45443</v>
      </c>
      <c r="B474" s="13">
        <v>100.6</v>
      </c>
    </row>
    <row r="475" spans="1:2" x14ac:dyDescent="0.3">
      <c r="A475" s="12">
        <v>45473</v>
      </c>
      <c r="B475" s="13">
        <v>99.7</v>
      </c>
    </row>
    <row r="476" spans="1:2" x14ac:dyDescent="0.3">
      <c r="A476" s="12">
        <v>45504</v>
      </c>
      <c r="B476" s="13">
        <v>100</v>
      </c>
    </row>
    <row r="477" spans="1:2" x14ac:dyDescent="0.3">
      <c r="A477" s="12">
        <v>45535</v>
      </c>
      <c r="B477" s="13">
        <v>98.9</v>
      </c>
    </row>
    <row r="478" spans="1:2" x14ac:dyDescent="0.3">
      <c r="A478" s="12">
        <v>45565</v>
      </c>
      <c r="B478" s="13">
        <v>99.9</v>
      </c>
    </row>
    <row r="479" spans="1:2" x14ac:dyDescent="0.3">
      <c r="A479" s="12">
        <v>45596</v>
      </c>
      <c r="B479" s="13">
        <v>99.3</v>
      </c>
    </row>
    <row r="480" spans="1:2" x14ac:dyDescent="0.3">
      <c r="A480" s="12">
        <v>45626</v>
      </c>
      <c r="B480" s="13">
        <v>98.9</v>
      </c>
    </row>
    <row r="481" spans="1:2" x14ac:dyDescent="0.3">
      <c r="A481" s="12">
        <v>45657</v>
      </c>
      <c r="B481" s="13">
        <v>98.2</v>
      </c>
    </row>
    <row r="482" spans="1:2" x14ac:dyDescent="0.3">
      <c r="A482" s="12">
        <v>45688</v>
      </c>
      <c r="B482" s="13">
        <v>99.7</v>
      </c>
    </row>
    <row r="483" spans="1:2" x14ac:dyDescent="0.3">
      <c r="A483" s="12">
        <v>45716</v>
      </c>
      <c r="B483" s="13">
        <v>99.6</v>
      </c>
    </row>
    <row r="484" spans="1:2" x14ac:dyDescent="0.3">
      <c r="A484" s="12">
        <v>45747</v>
      </c>
      <c r="B484" s="13">
        <v>97.7</v>
      </c>
    </row>
    <row r="485" spans="1:2" x14ac:dyDescent="0.3">
      <c r="A485" s="12">
        <v>45777</v>
      </c>
      <c r="B485" s="13">
        <v>95.9</v>
      </c>
    </row>
    <row r="486" spans="1:2" x14ac:dyDescent="0.3">
      <c r="A486" s="12">
        <v>45808</v>
      </c>
      <c r="B486" s="13">
        <v>98.8</v>
      </c>
    </row>
    <row r="487" spans="1:2" x14ac:dyDescent="0.3">
      <c r="A487" s="12">
        <v>45838</v>
      </c>
      <c r="B487" s="13">
        <v>99.1</v>
      </c>
    </row>
    <row r="488" spans="1:2" x14ac:dyDescent="0.3">
      <c r="A488" s="12">
        <v>45869</v>
      </c>
      <c r="B488" s="13">
        <v>99.6</v>
      </c>
    </row>
    <row r="489" spans="1:2" x14ac:dyDescent="0.3">
      <c r="A489" s="12">
        <v>45900</v>
      </c>
      <c r="B489" s="13">
        <v>98.6</v>
      </c>
    </row>
    <row r="490" spans="1:2" x14ac:dyDescent="0.3">
      <c r="A490" s="12">
        <v>45930</v>
      </c>
      <c r="B490" s="13">
        <v>99.4</v>
      </c>
    </row>
    <row r="491" spans="1:2" x14ac:dyDescent="0.3">
      <c r="A491" s="12">
        <v>45961</v>
      </c>
      <c r="B491" s="13">
        <v>100.8</v>
      </c>
    </row>
    <row r="492" spans="1:2" x14ac:dyDescent="0.3">
      <c r="A492" s="12">
        <v>45991</v>
      </c>
      <c r="B492" s="13">
        <v>101.9</v>
      </c>
    </row>
    <row r="493" spans="1:2" x14ac:dyDescent="0.3">
      <c r="A493" s="12">
        <v>46022</v>
      </c>
      <c r="B493" s="13">
        <v>101.2</v>
      </c>
    </row>
    <row r="494" spans="1:2" x14ac:dyDescent="0.3">
      <c r="A494" s="12">
        <v>46053</v>
      </c>
      <c r="B494" s="13">
        <v>102.6</v>
      </c>
    </row>
    <row r="495" spans="1:2" x14ac:dyDescent="0.3">
      <c r="A495" s="12">
        <v>46081</v>
      </c>
      <c r="B495" s="13">
        <v>102</v>
      </c>
    </row>
    <row r="496" spans="1:2" x14ac:dyDescent="0.3">
      <c r="A496" s="12">
        <v>46112</v>
      </c>
      <c r="B496" s="13">
        <v>100.7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87"/>
  <sheetViews>
    <sheetView workbookViewId="0">
      <selection activeCell="F18" sqref="F18"/>
    </sheetView>
  </sheetViews>
  <sheetFormatPr defaultRowHeight="14.4" x14ac:dyDescent="0.3"/>
  <cols>
    <col min="2" max="2" width="10.109375" bestFit="1" customWidth="1"/>
    <col min="3" max="3" width="9.44140625" bestFit="1" customWidth="1"/>
  </cols>
  <sheetData>
    <row r="1" spans="1:2" x14ac:dyDescent="0.3">
      <c r="A1" t="s">
        <v>530</v>
      </c>
      <c r="B1" t="s">
        <v>531</v>
      </c>
    </row>
    <row r="2" spans="1:2" x14ac:dyDescent="0.3">
      <c r="A2" t="s">
        <v>532</v>
      </c>
      <c r="B2" s="27">
        <v>4.01</v>
      </c>
    </row>
    <row r="3" spans="1:2" x14ac:dyDescent="0.3">
      <c r="A3" t="s">
        <v>533</v>
      </c>
      <c r="B3" s="27">
        <v>3.96</v>
      </c>
    </row>
    <row r="4" spans="1:2" x14ac:dyDescent="0.3">
      <c r="A4" t="s">
        <v>534</v>
      </c>
      <c r="B4" s="27">
        <v>3.95</v>
      </c>
    </row>
    <row r="5" spans="1:2" x14ac:dyDescent="0.3">
      <c r="A5" t="s">
        <v>535</v>
      </c>
      <c r="B5" s="27">
        <v>3.87</v>
      </c>
    </row>
    <row r="6" spans="1:2" x14ac:dyDescent="0.3">
      <c r="A6" t="s">
        <v>536</v>
      </c>
      <c r="B6" s="27">
        <v>3.44</v>
      </c>
    </row>
    <row r="7" spans="1:2" x14ac:dyDescent="0.3">
      <c r="A7" t="s">
        <v>537</v>
      </c>
      <c r="B7" s="27">
        <v>3.6</v>
      </c>
    </row>
    <row r="8" spans="1:2" x14ac:dyDescent="0.3">
      <c r="A8" t="s">
        <v>538</v>
      </c>
      <c r="B8" s="27">
        <v>3.74</v>
      </c>
    </row>
    <row r="9" spans="1:2" x14ac:dyDescent="0.3">
      <c r="A9" t="s">
        <v>539</v>
      </c>
      <c r="B9" s="27">
        <v>3.73</v>
      </c>
    </row>
    <row r="10" spans="1:2" x14ac:dyDescent="0.3">
      <c r="A10" t="s">
        <v>540</v>
      </c>
      <c r="B10" s="27">
        <v>3.68</v>
      </c>
    </row>
    <row r="11" spans="1:2" x14ac:dyDescent="0.3">
      <c r="A11" t="s">
        <v>541</v>
      </c>
      <c r="B11" s="27">
        <v>3.83</v>
      </c>
    </row>
    <row r="12" spans="1:2" x14ac:dyDescent="0.3">
      <c r="A12" t="s">
        <v>542</v>
      </c>
      <c r="B12" s="27">
        <v>3.9</v>
      </c>
    </row>
    <row r="13" spans="1:2" x14ac:dyDescent="0.3">
      <c r="A13" t="s">
        <v>543</v>
      </c>
      <c r="B13" s="27">
        <v>4.09</v>
      </c>
    </row>
    <row r="14" spans="1:2" x14ac:dyDescent="0.3">
      <c r="A14" t="s">
        <v>544</v>
      </c>
      <c r="B14" s="27">
        <v>4.26</v>
      </c>
    </row>
    <row r="15" spans="1:2" x14ac:dyDescent="0.3">
      <c r="A15" t="s">
        <v>545</v>
      </c>
      <c r="B15" s="27">
        <v>4.1900000000000004</v>
      </c>
    </row>
    <row r="16" spans="1:2" x14ac:dyDescent="0.3">
      <c r="A16" t="s">
        <v>546</v>
      </c>
      <c r="B16" s="27">
        <v>5.08</v>
      </c>
    </row>
    <row r="17" spans="1:3" x14ac:dyDescent="0.3">
      <c r="A17" t="s">
        <v>547</v>
      </c>
      <c r="B17" s="27">
        <v>4.6900000000000004</v>
      </c>
    </row>
    <row r="18" spans="1:3" x14ac:dyDescent="0.3">
      <c r="A18" t="s">
        <v>548</v>
      </c>
      <c r="B18" s="27">
        <v>4.6399999999999997</v>
      </c>
    </row>
    <row r="19" spans="1:3" x14ac:dyDescent="0.3">
      <c r="A19" t="s">
        <v>549</v>
      </c>
      <c r="B19" s="27">
        <v>4.4800000000000004</v>
      </c>
    </row>
    <row r="20" spans="1:3" x14ac:dyDescent="0.3">
      <c r="A20" t="s">
        <v>550</v>
      </c>
      <c r="B20" s="27">
        <v>4.5199999999999996</v>
      </c>
    </row>
    <row r="21" spans="1:3" x14ac:dyDescent="0.3">
      <c r="A21" t="s">
        <v>551</v>
      </c>
      <c r="B21" s="27">
        <v>4.3600000000000003</v>
      </c>
    </row>
    <row r="22" spans="1:3" x14ac:dyDescent="0.3">
      <c r="A22" t="s">
        <v>552</v>
      </c>
      <c r="B22" s="27">
        <v>4.0999999999999996</v>
      </c>
    </row>
    <row r="23" spans="1:3" x14ac:dyDescent="0.3">
      <c r="A23" t="s">
        <v>553</v>
      </c>
      <c r="B23" s="27">
        <v>4.3499999999999996</v>
      </c>
    </row>
    <row r="24" spans="1:3" x14ac:dyDescent="0.3">
      <c r="A24" t="s">
        <v>554</v>
      </c>
      <c r="B24" s="27">
        <v>4.05</v>
      </c>
    </row>
    <row r="25" spans="1:3" x14ac:dyDescent="0.3">
      <c r="A25" t="s">
        <v>555</v>
      </c>
      <c r="B25" s="27">
        <v>3.92</v>
      </c>
    </row>
    <row r="26" spans="1:3" x14ac:dyDescent="0.3">
      <c r="A26" t="s">
        <v>556</v>
      </c>
      <c r="B26" s="27">
        <v>3.41</v>
      </c>
      <c r="C26" s="30">
        <f>AVERAGE(B26:B28)</f>
        <v>3.23</v>
      </c>
    </row>
    <row r="27" spans="1:3" x14ac:dyDescent="0.3">
      <c r="A27" t="s">
        <v>557</v>
      </c>
      <c r="B27" s="27">
        <v>3.18</v>
      </c>
    </row>
    <row r="28" spans="1:3" x14ac:dyDescent="0.3">
      <c r="A28" t="s">
        <v>558</v>
      </c>
      <c r="B28" s="27">
        <v>3.1</v>
      </c>
    </row>
    <row r="29" spans="1:3" x14ac:dyDescent="0.3">
      <c r="A29" t="s">
        <v>559</v>
      </c>
      <c r="B29" s="27">
        <v>2.87</v>
      </c>
    </row>
    <row r="30" spans="1:3" x14ac:dyDescent="0.3">
      <c r="A30" t="s">
        <v>560</v>
      </c>
      <c r="B30" s="27">
        <v>2.56</v>
      </c>
    </row>
    <row r="31" spans="1:3" x14ac:dyDescent="0.3">
      <c r="A31" t="s">
        <v>561</v>
      </c>
      <c r="B31" s="27">
        <v>2.98</v>
      </c>
    </row>
    <row r="32" spans="1:3" x14ac:dyDescent="0.3">
      <c r="A32" t="s">
        <v>562</v>
      </c>
      <c r="B32" s="27">
        <v>2.96</v>
      </c>
    </row>
    <row r="33" spans="1:2" x14ac:dyDescent="0.3">
      <c r="A33" t="s">
        <v>563</v>
      </c>
      <c r="B33" s="27">
        <v>3.08</v>
      </c>
    </row>
    <row r="34" spans="1:2" x14ac:dyDescent="0.3">
      <c r="A34" t="s">
        <v>564</v>
      </c>
      <c r="B34" s="27">
        <v>2.86</v>
      </c>
    </row>
    <row r="35" spans="1:2" x14ac:dyDescent="0.3">
      <c r="A35" t="s">
        <v>565</v>
      </c>
      <c r="B35" s="27">
        <v>2.69</v>
      </c>
    </row>
    <row r="36" spans="1:2" x14ac:dyDescent="0.3">
      <c r="A36" t="s">
        <v>566</v>
      </c>
      <c r="B36" s="27">
        <v>2.67</v>
      </c>
    </row>
    <row r="37" spans="1:2" x14ac:dyDescent="0.3">
      <c r="A37" t="s">
        <v>567</v>
      </c>
      <c r="B37" s="27">
        <v>2.6</v>
      </c>
    </row>
    <row r="38" spans="1:2" x14ac:dyDescent="0.3">
      <c r="A38" t="s">
        <v>568</v>
      </c>
      <c r="B38" s="27">
        <v>2.39</v>
      </c>
    </row>
    <row r="39" spans="1:2" x14ac:dyDescent="0.3">
      <c r="A39" t="s">
        <v>569</v>
      </c>
      <c r="B39" s="27">
        <v>2.63</v>
      </c>
    </row>
    <row r="40" spans="1:2" x14ac:dyDescent="0.3">
      <c r="A40" t="s">
        <v>570</v>
      </c>
      <c r="B40" s="27">
        <v>2.9</v>
      </c>
    </row>
    <row r="41" spans="1:2" x14ac:dyDescent="0.3">
      <c r="A41" t="s">
        <v>571</v>
      </c>
      <c r="B41" s="27">
        <v>3.09</v>
      </c>
    </row>
    <row r="42" spans="1:2" x14ac:dyDescent="0.3">
      <c r="A42" t="s">
        <v>572</v>
      </c>
      <c r="B42" s="27">
        <v>2.9</v>
      </c>
    </row>
    <row r="43" spans="1:2" x14ac:dyDescent="0.3">
      <c r="A43" t="s">
        <v>573</v>
      </c>
      <c r="B43" s="27">
        <v>2.89</v>
      </c>
    </row>
    <row r="44" spans="1:2" x14ac:dyDescent="0.3">
      <c r="A44" t="s">
        <v>574</v>
      </c>
      <c r="B44" s="27">
        <v>2.8</v>
      </c>
    </row>
    <row r="45" spans="1:2" x14ac:dyDescent="0.3">
      <c r="A45" t="s">
        <v>575</v>
      </c>
      <c r="B45" s="27">
        <v>2.66</v>
      </c>
    </row>
    <row r="46" spans="1:2" x14ac:dyDescent="0.3">
      <c r="A46" t="s">
        <v>576</v>
      </c>
      <c r="B46" s="27">
        <v>2.71</v>
      </c>
    </row>
    <row r="47" spans="1:2" x14ac:dyDescent="0.3">
      <c r="A47" t="s">
        <v>577</v>
      </c>
      <c r="B47" s="27">
        <v>2.94</v>
      </c>
    </row>
    <row r="48" spans="1:2" x14ac:dyDescent="0.3">
      <c r="A48" t="s">
        <v>578</v>
      </c>
      <c r="B48" s="27">
        <v>2.89</v>
      </c>
    </row>
    <row r="49" spans="1:2" x14ac:dyDescent="0.3">
      <c r="A49" t="s">
        <v>579</v>
      </c>
      <c r="B49" s="27">
        <v>2.87</v>
      </c>
    </row>
    <row r="50" spans="1:2" x14ac:dyDescent="0.3">
      <c r="A50" t="s">
        <v>580</v>
      </c>
      <c r="B50" s="27">
        <v>3.16</v>
      </c>
    </row>
    <row r="51" spans="1:2" x14ac:dyDescent="0.3">
      <c r="A51" t="s">
        <v>581</v>
      </c>
      <c r="B51" s="27">
        <v>3.14</v>
      </c>
    </row>
    <row r="52" spans="1:2" x14ac:dyDescent="0.3">
      <c r="A52" t="s">
        <v>582</v>
      </c>
      <c r="B52" s="27">
        <v>3.01</v>
      </c>
    </row>
    <row r="53" spans="1:2" x14ac:dyDescent="0.3">
      <c r="A53" t="s">
        <v>583</v>
      </c>
      <c r="B53" s="27">
        <v>2.69</v>
      </c>
    </row>
    <row r="54" spans="1:2" x14ac:dyDescent="0.3">
      <c r="A54" t="s">
        <v>584</v>
      </c>
      <c r="B54" s="27">
        <v>2.76</v>
      </c>
    </row>
    <row r="55" spans="1:2" x14ac:dyDescent="0.3">
      <c r="A55" t="s">
        <v>585</v>
      </c>
      <c r="B55" s="27">
        <v>2.72</v>
      </c>
    </row>
    <row r="56" spans="1:2" x14ac:dyDescent="0.3">
      <c r="A56" t="s">
        <v>586</v>
      </c>
      <c r="B56" s="27">
        <v>2.65</v>
      </c>
    </row>
    <row r="57" spans="1:2" x14ac:dyDescent="0.3">
      <c r="A57" t="s">
        <v>587</v>
      </c>
      <c r="B57" s="27">
        <v>2.83</v>
      </c>
    </row>
    <row r="58" spans="1:2" x14ac:dyDescent="0.3">
      <c r="A58" t="s">
        <v>588</v>
      </c>
      <c r="B58" s="27">
        <v>2.93</v>
      </c>
    </row>
    <row r="59" spans="1:2" x14ac:dyDescent="0.3">
      <c r="A59" t="s">
        <v>589</v>
      </c>
      <c r="B59" s="27">
        <v>2.91</v>
      </c>
    </row>
    <row r="60" spans="1:2" x14ac:dyDescent="0.3">
      <c r="A60" t="s">
        <v>590</v>
      </c>
      <c r="B60" s="27">
        <v>2.89</v>
      </c>
    </row>
    <row r="61" spans="1:2" x14ac:dyDescent="0.3">
      <c r="A61" t="s">
        <v>591</v>
      </c>
      <c r="B61" s="27">
        <v>2.57</v>
      </c>
    </row>
    <row r="62" spans="1:2" x14ac:dyDescent="0.3">
      <c r="A62" t="s">
        <v>592</v>
      </c>
      <c r="B62" s="27">
        <v>2.3321000000000001</v>
      </c>
    </row>
    <row r="63" spans="1:2" x14ac:dyDescent="0.3">
      <c r="A63" t="s">
        <v>593</v>
      </c>
      <c r="B63" s="27">
        <v>2.3934000000000002</v>
      </c>
    </row>
    <row r="64" spans="1:2" x14ac:dyDescent="0.3">
      <c r="A64" t="s">
        <v>594</v>
      </c>
      <c r="B64" s="27">
        <v>2.1466957</v>
      </c>
    </row>
    <row r="65" spans="1:2" x14ac:dyDescent="0.3">
      <c r="A65" t="s">
        <v>595</v>
      </c>
      <c r="B65" s="27">
        <v>1.5964545000000001</v>
      </c>
    </row>
    <row r="66" spans="1:2" x14ac:dyDescent="0.3">
      <c r="A66" t="s">
        <v>596</v>
      </c>
      <c r="B66" s="27">
        <v>1.6789524</v>
      </c>
    </row>
    <row r="67" spans="1:2" x14ac:dyDescent="0.3">
      <c r="A67" t="s">
        <v>597</v>
      </c>
      <c r="B67" s="27">
        <v>1.7266817999999999</v>
      </c>
    </row>
    <row r="68" spans="1:2" x14ac:dyDescent="0.3">
      <c r="A68" t="s">
        <v>598</v>
      </c>
      <c r="B68" s="27">
        <v>1.6764545</v>
      </c>
    </row>
    <row r="69" spans="1:2" x14ac:dyDescent="0.3">
      <c r="A69" t="s">
        <v>599</v>
      </c>
      <c r="B69" s="27">
        <v>1.5950454999999999</v>
      </c>
    </row>
    <row r="70" spans="1:2" x14ac:dyDescent="0.3">
      <c r="A70" t="s">
        <v>600</v>
      </c>
      <c r="B70" s="27">
        <v>1.5266818</v>
      </c>
    </row>
    <row r="71" spans="1:2" x14ac:dyDescent="0.3">
      <c r="A71" t="s">
        <v>601</v>
      </c>
      <c r="B71" s="27">
        <v>2.0756667000000002</v>
      </c>
    </row>
    <row r="72" spans="1:2" x14ac:dyDescent="0.3">
      <c r="A72" t="s">
        <v>602</v>
      </c>
      <c r="B72" s="27">
        <v>1.9676818</v>
      </c>
    </row>
    <row r="73" spans="1:2" x14ac:dyDescent="0.3">
      <c r="A73" t="s">
        <v>603</v>
      </c>
      <c r="B73" s="27">
        <v>1.7460454999999999</v>
      </c>
    </row>
    <row r="74" spans="1:2" x14ac:dyDescent="0.3">
      <c r="A74" t="s">
        <v>604</v>
      </c>
      <c r="B74" s="27">
        <v>1.4431429</v>
      </c>
    </row>
    <row r="75" spans="1:2" x14ac:dyDescent="0.3">
      <c r="A75" t="s">
        <v>605</v>
      </c>
      <c r="B75" s="27">
        <v>1.6367619</v>
      </c>
    </row>
    <row r="76" spans="1:2" x14ac:dyDescent="0.3">
      <c r="A76" t="s">
        <v>606</v>
      </c>
      <c r="B76" s="27">
        <v>1.7470435</v>
      </c>
    </row>
    <row r="77" spans="1:2" x14ac:dyDescent="0.3">
      <c r="A77" t="s">
        <v>607</v>
      </c>
      <c r="B77" s="27">
        <v>2.2252778000000002</v>
      </c>
    </row>
    <row r="78" spans="1:2" x14ac:dyDescent="0.3">
      <c r="A78" t="s">
        <v>608</v>
      </c>
      <c r="B78" s="27">
        <v>2.5620455</v>
      </c>
    </row>
    <row r="79" spans="1:2" x14ac:dyDescent="0.3">
      <c r="A79" t="s">
        <v>609</v>
      </c>
      <c r="B79" s="27">
        <v>2.4017273000000001</v>
      </c>
    </row>
    <row r="80" spans="1:2" x14ac:dyDescent="0.3">
      <c r="A80" t="s">
        <v>610</v>
      </c>
      <c r="B80" s="27">
        <v>2.4829048</v>
      </c>
    </row>
    <row r="81" spans="1:2" x14ac:dyDescent="0.3">
      <c r="A81" t="s">
        <v>611</v>
      </c>
      <c r="B81" s="27">
        <v>2.7770869999999999</v>
      </c>
    </row>
    <row r="82" spans="1:2" x14ac:dyDescent="0.3">
      <c r="A82" t="s">
        <v>612</v>
      </c>
      <c r="B82" s="27">
        <v>2.4528094999999999</v>
      </c>
    </row>
    <row r="83" spans="1:2" x14ac:dyDescent="0.3">
      <c r="A83" t="s">
        <v>613</v>
      </c>
      <c r="B83" s="27">
        <v>2.6412727</v>
      </c>
    </row>
    <row r="84" spans="1:2" x14ac:dyDescent="0.3">
      <c r="A84" t="s">
        <v>614</v>
      </c>
      <c r="B84" s="27">
        <v>2.5919544999999999</v>
      </c>
    </row>
    <row r="85" spans="1:2" x14ac:dyDescent="0.3">
      <c r="A85" t="s">
        <v>615</v>
      </c>
      <c r="B85" s="27">
        <v>2.4391579000000001</v>
      </c>
    </row>
    <row r="86" spans="1:2" x14ac:dyDescent="0.3">
      <c r="A86" t="s">
        <v>616</v>
      </c>
      <c r="B86" s="27">
        <v>2.7707272999999999</v>
      </c>
    </row>
    <row r="87" spans="1:2" x14ac:dyDescent="0.3">
      <c r="A87" t="s">
        <v>617</v>
      </c>
      <c r="B87" s="27">
        <v>2.7557999999999998</v>
      </c>
    </row>
    <row r="88" spans="1:2" x14ac:dyDescent="0.3">
      <c r="A88" t="s">
        <v>618</v>
      </c>
      <c r="B88" s="27">
        <v>2.5086363999999999</v>
      </c>
    </row>
    <row r="89" spans="1:2" x14ac:dyDescent="0.3">
      <c r="A89" t="s">
        <v>619</v>
      </c>
      <c r="B89" s="27">
        <v>1.982</v>
      </c>
    </row>
    <row r="90" spans="1:2" x14ac:dyDescent="0.3">
      <c r="A90" t="s">
        <v>620</v>
      </c>
      <c r="B90" s="27">
        <v>1.5366818</v>
      </c>
    </row>
    <row r="91" spans="1:2" x14ac:dyDescent="0.3">
      <c r="A91" t="s">
        <v>621</v>
      </c>
      <c r="B91" s="27">
        <v>1.5535714</v>
      </c>
    </row>
    <row r="92" spans="1:2" x14ac:dyDescent="0.3">
      <c r="A92" t="s">
        <v>622</v>
      </c>
      <c r="B92" s="27">
        <v>1.9671364</v>
      </c>
    </row>
    <row r="93" spans="1:2" x14ac:dyDescent="0.3">
      <c r="A93" t="s">
        <v>623</v>
      </c>
      <c r="B93" s="27">
        <v>2.0535217000000001</v>
      </c>
    </row>
    <row r="94" spans="1:2" x14ac:dyDescent="0.3">
      <c r="A94" t="s">
        <v>624</v>
      </c>
      <c r="B94" s="27">
        <v>1.78285</v>
      </c>
    </row>
    <row r="95" spans="1:2" x14ac:dyDescent="0.3">
      <c r="A95" t="s">
        <v>625</v>
      </c>
      <c r="B95" s="27">
        <v>1.3998695999999999</v>
      </c>
    </row>
    <row r="96" spans="1:2" x14ac:dyDescent="0.3">
      <c r="A96" t="s">
        <v>626</v>
      </c>
      <c r="B96" s="27">
        <v>1.3856818</v>
      </c>
    </row>
    <row r="97" spans="1:2" x14ac:dyDescent="0.3">
      <c r="A97" t="s">
        <v>627</v>
      </c>
      <c r="B97" s="27">
        <v>1.2448889000000001</v>
      </c>
    </row>
    <row r="98" spans="1:2" x14ac:dyDescent="0.3">
      <c r="A98" t="s">
        <v>628</v>
      </c>
      <c r="B98" s="27">
        <v>0.73877269999999995</v>
      </c>
    </row>
    <row r="99" spans="1:2" x14ac:dyDescent="0.3">
      <c r="A99" t="s">
        <v>629</v>
      </c>
      <c r="B99" s="27">
        <v>0.85709999999999997</v>
      </c>
    </row>
    <row r="100" spans="1:2" x14ac:dyDescent="0.3">
      <c r="A100" t="s">
        <v>630</v>
      </c>
      <c r="B100" s="27">
        <v>0.89080000000000004</v>
      </c>
    </row>
    <row r="101" spans="1:2" x14ac:dyDescent="0.3">
      <c r="A101" t="s">
        <v>631</v>
      </c>
      <c r="B101" s="27">
        <v>1.0069048</v>
      </c>
    </row>
    <row r="102" spans="1:2" x14ac:dyDescent="0.3">
      <c r="A102" t="s">
        <v>632</v>
      </c>
      <c r="B102" s="27">
        <v>1.3671363999999999</v>
      </c>
    </row>
    <row r="103" spans="1:2" x14ac:dyDescent="0.3">
      <c r="A103" t="s">
        <v>633</v>
      </c>
      <c r="B103" s="27">
        <v>1.5640000000000001</v>
      </c>
    </row>
    <row r="104" spans="1:2" x14ac:dyDescent="0.3">
      <c r="A104" t="s">
        <v>634</v>
      </c>
      <c r="B104" s="27">
        <v>1.41</v>
      </c>
    </row>
    <row r="105" spans="1:2" x14ac:dyDescent="0.3">
      <c r="A105" t="s">
        <v>635</v>
      </c>
      <c r="B105" s="27">
        <v>1.2519091</v>
      </c>
    </row>
    <row r="106" spans="1:2" x14ac:dyDescent="0.3">
      <c r="A106" t="s">
        <v>636</v>
      </c>
      <c r="B106" s="27">
        <v>1.2101428999999999</v>
      </c>
    </row>
    <row r="107" spans="1:2" x14ac:dyDescent="0.3">
      <c r="A107" t="s">
        <v>637</v>
      </c>
      <c r="B107" s="27">
        <v>0.96126089999999997</v>
      </c>
    </row>
    <row r="108" spans="1:2" x14ac:dyDescent="0.3">
      <c r="A108" t="s">
        <v>638</v>
      </c>
      <c r="B108" s="27">
        <v>0.82414290000000001</v>
      </c>
    </row>
    <row r="109" spans="1:2" x14ac:dyDescent="0.3">
      <c r="A109" t="s">
        <v>639</v>
      </c>
      <c r="B109" s="27">
        <v>0.64105000000000001</v>
      </c>
    </row>
    <row r="110" spans="1:2" x14ac:dyDescent="0.3">
      <c r="A110" t="s">
        <v>640</v>
      </c>
      <c r="B110" s="27">
        <v>0.73181819999999997</v>
      </c>
    </row>
    <row r="111" spans="1:2" x14ac:dyDescent="0.3">
      <c r="A111" t="s">
        <v>641</v>
      </c>
      <c r="B111" s="27">
        <v>0.28744999999999998</v>
      </c>
    </row>
    <row r="112" spans="1:2" x14ac:dyDescent="0.3">
      <c r="A112" t="s">
        <v>642</v>
      </c>
      <c r="B112" s="27">
        <v>0.1299524</v>
      </c>
    </row>
    <row r="113" spans="1:2" x14ac:dyDescent="0.3">
      <c r="A113" t="s">
        <v>643</v>
      </c>
      <c r="B113" s="27">
        <v>0.43335000000000001</v>
      </c>
    </row>
    <row r="114" spans="1:2" x14ac:dyDescent="0.3">
      <c r="A114" t="s">
        <v>644</v>
      </c>
      <c r="B114" s="27">
        <v>0.60052380000000005</v>
      </c>
    </row>
    <row r="115" spans="1:2" x14ac:dyDescent="0.3">
      <c r="A115" t="s">
        <v>645</v>
      </c>
      <c r="B115" s="27">
        <v>0.15185709999999999</v>
      </c>
    </row>
    <row r="116" spans="1:2" x14ac:dyDescent="0.3">
      <c r="A116" t="s">
        <v>646</v>
      </c>
      <c r="B116" s="27">
        <v>0.23004350000000001</v>
      </c>
    </row>
    <row r="117" spans="1:2" x14ac:dyDescent="0.3">
      <c r="A117" t="s">
        <v>647</v>
      </c>
      <c r="B117" s="27">
        <v>0.14042859999999999</v>
      </c>
    </row>
    <row r="118" spans="1:2" x14ac:dyDescent="0.3">
      <c r="A118" t="s">
        <v>648</v>
      </c>
      <c r="B118" s="27">
        <v>4.7318199999999998E-2</v>
      </c>
    </row>
    <row r="119" spans="1:2" x14ac:dyDescent="0.3">
      <c r="A119" t="s">
        <v>649</v>
      </c>
      <c r="B119" s="27">
        <v>0.1435652</v>
      </c>
    </row>
    <row r="120" spans="1:2" x14ac:dyDescent="0.3">
      <c r="A120" t="s">
        <v>650</v>
      </c>
      <c r="B120" s="27">
        <v>-4.095E-2</v>
      </c>
    </row>
    <row r="121" spans="1:2" x14ac:dyDescent="0.3">
      <c r="A121" t="s">
        <v>651</v>
      </c>
      <c r="B121" s="27">
        <v>0.1463333</v>
      </c>
    </row>
    <row r="122" spans="1:2" x14ac:dyDescent="0.3">
      <c r="A122" t="s">
        <v>652</v>
      </c>
      <c r="B122" s="27">
        <v>0.28947620000000002</v>
      </c>
    </row>
    <row r="123" spans="1:2" x14ac:dyDescent="0.3">
      <c r="A123" t="s">
        <v>653</v>
      </c>
      <c r="B123" s="27">
        <v>0.47055000000000002</v>
      </c>
    </row>
    <row r="124" spans="1:2" x14ac:dyDescent="0.3">
      <c r="A124" t="s">
        <v>654</v>
      </c>
      <c r="B124" s="27">
        <v>0.32882610000000001</v>
      </c>
    </row>
    <row r="125" spans="1:2" x14ac:dyDescent="0.3">
      <c r="A125" t="s">
        <v>655</v>
      </c>
      <c r="B125" s="27">
        <v>-5.1249999999999997E-2</v>
      </c>
    </row>
    <row r="126" spans="1:2" x14ac:dyDescent="0.3">
      <c r="A126" t="s">
        <v>656</v>
      </c>
      <c r="B126" s="27">
        <v>-0.41414289999999998</v>
      </c>
    </row>
    <row r="127" spans="1:2" x14ac:dyDescent="0.3">
      <c r="A127" t="s">
        <v>657</v>
      </c>
      <c r="B127" s="27">
        <v>-0.28731820000000002</v>
      </c>
    </row>
    <row r="128" spans="1:2" x14ac:dyDescent="0.3">
      <c r="A128" t="s">
        <v>658</v>
      </c>
      <c r="B128" s="27">
        <v>-0.18395449999999999</v>
      </c>
    </row>
    <row r="129" spans="1:2" x14ac:dyDescent="0.3">
      <c r="A129" t="s">
        <v>659</v>
      </c>
      <c r="B129" s="27">
        <v>-0.28572730000000002</v>
      </c>
    </row>
    <row r="130" spans="1:2" x14ac:dyDescent="0.3">
      <c r="A130" t="s">
        <v>660</v>
      </c>
      <c r="B130" s="27">
        <v>1.85909E-2</v>
      </c>
    </row>
    <row r="131" spans="1:2" x14ac:dyDescent="0.3">
      <c r="A131" t="s">
        <v>661</v>
      </c>
      <c r="B131" s="27">
        <v>-0.25266670000000002</v>
      </c>
    </row>
    <row r="132" spans="1:2" x14ac:dyDescent="0.3">
      <c r="A132" t="s">
        <v>662</v>
      </c>
      <c r="B132" s="27">
        <v>-2.9681800000000001E-2</v>
      </c>
    </row>
    <row r="133" spans="1:2" x14ac:dyDescent="0.3">
      <c r="A133" t="s">
        <v>663</v>
      </c>
      <c r="B133" s="27">
        <v>-0.1268261</v>
      </c>
    </row>
    <row r="134" spans="1:2" x14ac:dyDescent="0.3">
      <c r="A134" t="s">
        <v>664</v>
      </c>
      <c r="B134" s="27">
        <v>0.2454286</v>
      </c>
    </row>
    <row r="135" spans="1:2" x14ac:dyDescent="0.3">
      <c r="A135" t="s">
        <v>665</v>
      </c>
      <c r="B135" s="27">
        <v>3.8350000000000002E-2</v>
      </c>
    </row>
    <row r="136" spans="1:2" x14ac:dyDescent="0.3">
      <c r="A136" t="s">
        <v>666</v>
      </c>
      <c r="B136" s="27">
        <v>-6.2809500000000004E-2</v>
      </c>
    </row>
    <row r="137" spans="1:2" x14ac:dyDescent="0.3">
      <c r="A137" t="s">
        <v>667</v>
      </c>
      <c r="B137" s="27">
        <v>3.7238100000000003E-2</v>
      </c>
    </row>
    <row r="138" spans="1:2" x14ac:dyDescent="0.3">
      <c r="A138" t="s">
        <v>668</v>
      </c>
      <c r="B138" s="27">
        <v>0.12563640000000001</v>
      </c>
    </row>
    <row r="139" spans="1:2" x14ac:dyDescent="0.3">
      <c r="A139" t="s">
        <v>669</v>
      </c>
      <c r="B139" s="27">
        <v>0.11104550000000001</v>
      </c>
    </row>
    <row r="140" spans="1:2" x14ac:dyDescent="0.3">
      <c r="A140" t="s">
        <v>670</v>
      </c>
      <c r="B140" s="27">
        <v>1.9428600000000001E-2</v>
      </c>
    </row>
    <row r="141" spans="1:2" x14ac:dyDescent="0.3">
      <c r="A141" t="s">
        <v>671</v>
      </c>
      <c r="B141" s="27">
        <v>-6.7521700000000004E-2</v>
      </c>
    </row>
    <row r="142" spans="1:2" x14ac:dyDescent="0.3">
      <c r="A142" t="s">
        <v>672</v>
      </c>
      <c r="B142" s="27">
        <v>-0.46086359999999998</v>
      </c>
    </row>
    <row r="143" spans="1:2" x14ac:dyDescent="0.3">
      <c r="A143" t="s">
        <v>673</v>
      </c>
      <c r="B143" s="27">
        <v>-0.30338100000000001</v>
      </c>
    </row>
    <row r="144" spans="1:2" x14ac:dyDescent="0.3">
      <c r="A144" t="s">
        <v>674</v>
      </c>
      <c r="B144" s="27">
        <v>6.0863599999999997E-2</v>
      </c>
    </row>
    <row r="145" spans="1:2" x14ac:dyDescent="0.3">
      <c r="A145" t="s">
        <v>675</v>
      </c>
      <c r="B145" s="27">
        <v>0.17285710000000001</v>
      </c>
    </row>
    <row r="146" spans="1:2" x14ac:dyDescent="0.3">
      <c r="A146" t="s">
        <v>676</v>
      </c>
      <c r="B146" s="27">
        <v>0.1116818</v>
      </c>
    </row>
    <row r="147" spans="1:2" x14ac:dyDescent="0.3">
      <c r="A147" t="s">
        <v>677</v>
      </c>
      <c r="B147" s="27">
        <v>0.20035</v>
      </c>
    </row>
    <row r="148" spans="1:2" x14ac:dyDescent="0.3">
      <c r="A148" t="s">
        <v>678</v>
      </c>
      <c r="B148" s="27">
        <v>0.52260870000000004</v>
      </c>
    </row>
    <row r="149" spans="1:2" x14ac:dyDescent="0.3">
      <c r="A149" t="s">
        <v>679</v>
      </c>
      <c r="B149" s="27">
        <v>0.39377780000000001</v>
      </c>
    </row>
    <row r="150" spans="1:2" x14ac:dyDescent="0.3">
      <c r="A150" t="s">
        <v>680</v>
      </c>
      <c r="B150" s="27">
        <v>0.38900000000000001</v>
      </c>
    </row>
    <row r="151" spans="1:2" x14ac:dyDescent="0.3">
      <c r="A151" t="s">
        <v>681</v>
      </c>
      <c r="B151" s="27">
        <v>0.4856818</v>
      </c>
    </row>
    <row r="152" spans="1:2" x14ac:dyDescent="0.3">
      <c r="A152" t="s">
        <v>682</v>
      </c>
      <c r="B152" s="27">
        <v>0.70219050000000005</v>
      </c>
    </row>
    <row r="153" spans="1:2" x14ac:dyDescent="0.3">
      <c r="A153" t="s">
        <v>683</v>
      </c>
      <c r="B153" s="27">
        <v>0.92647829999999998</v>
      </c>
    </row>
    <row r="154" spans="1:2" x14ac:dyDescent="0.3">
      <c r="A154" t="s">
        <v>684</v>
      </c>
      <c r="B154" s="27">
        <v>1.5353810000000001</v>
      </c>
    </row>
    <row r="155" spans="1:2" x14ac:dyDescent="0.3">
      <c r="A155" t="s">
        <v>685</v>
      </c>
      <c r="B155" s="27">
        <v>1.9019999999999999</v>
      </c>
    </row>
    <row r="156" spans="1:2" x14ac:dyDescent="0.3">
      <c r="A156" t="s">
        <v>686</v>
      </c>
      <c r="B156" s="27">
        <v>1.7971817999999999</v>
      </c>
    </row>
    <row r="157" spans="1:2" x14ac:dyDescent="0.3">
      <c r="A157" t="s">
        <v>687</v>
      </c>
      <c r="B157" s="27">
        <v>1.7842104999999999</v>
      </c>
    </row>
    <row r="158" spans="1:2" x14ac:dyDescent="0.3">
      <c r="A158" t="s">
        <v>688</v>
      </c>
      <c r="B158" s="27">
        <v>1.9518636</v>
      </c>
    </row>
    <row r="159" spans="1:2" x14ac:dyDescent="0.3">
      <c r="A159" t="s">
        <v>689</v>
      </c>
      <c r="B159" s="27">
        <v>2.0182000000000002</v>
      </c>
    </row>
    <row r="160" spans="1:2" x14ac:dyDescent="0.3">
      <c r="A160" t="s">
        <v>690</v>
      </c>
      <c r="B160" s="27">
        <v>1.9909091000000001</v>
      </c>
    </row>
    <row r="161" spans="1:2" x14ac:dyDescent="0.3">
      <c r="A161" t="s">
        <v>691</v>
      </c>
      <c r="B161" s="27">
        <v>2.0752632000000002</v>
      </c>
    </row>
    <row r="162" spans="1:2" x14ac:dyDescent="0.3">
      <c r="A162" t="s">
        <v>692</v>
      </c>
      <c r="B162" s="27">
        <v>2.1713635999999998</v>
      </c>
    </row>
    <row r="163" spans="1:2" x14ac:dyDescent="0.3">
      <c r="A163" t="s">
        <v>693</v>
      </c>
      <c r="B163" s="27">
        <v>2.2477619</v>
      </c>
    </row>
    <row r="164" spans="1:2" x14ac:dyDescent="0.3">
      <c r="A164" t="s">
        <v>694</v>
      </c>
      <c r="B164" s="27">
        <v>2.4161817999999999</v>
      </c>
    </row>
    <row r="165" spans="1:2" x14ac:dyDescent="0.3">
      <c r="A165" t="s">
        <v>695</v>
      </c>
      <c r="B165" s="27">
        <v>2.8436086999999999</v>
      </c>
    </row>
    <row r="166" spans="1:2" x14ac:dyDescent="0.3">
      <c r="A166" t="s">
        <v>696</v>
      </c>
      <c r="B166" s="27">
        <v>2.6417000000000002</v>
      </c>
    </row>
    <row r="167" spans="1:2" x14ac:dyDescent="0.3">
      <c r="A167" t="s">
        <v>697</v>
      </c>
      <c r="B167" s="27">
        <v>2.1873912999999998</v>
      </c>
    </row>
    <row r="168" spans="1:2" x14ac:dyDescent="0.3">
      <c r="A168" t="s">
        <v>698</v>
      </c>
      <c r="B168" s="27">
        <v>1.5385454999999999</v>
      </c>
    </row>
    <row r="169" spans="1:2" x14ac:dyDescent="0.3">
      <c r="A169" t="s">
        <v>699</v>
      </c>
      <c r="B169" s="27">
        <v>1.7483683999999999</v>
      </c>
    </row>
    <row r="170" spans="1:2" x14ac:dyDescent="0.3">
      <c r="A170" t="s">
        <v>700</v>
      </c>
      <c r="B170" s="27">
        <v>1.2815455</v>
      </c>
    </row>
    <row r="171" spans="1:2" x14ac:dyDescent="0.3">
      <c r="A171" t="s">
        <v>701</v>
      </c>
      <c r="B171" s="27">
        <v>1.0620951999999999</v>
      </c>
    </row>
    <row r="172" spans="1:2" x14ac:dyDescent="0.3">
      <c r="A172" t="s">
        <v>702</v>
      </c>
      <c r="B172" s="27">
        <v>0.99636840000000004</v>
      </c>
    </row>
    <row r="173" spans="1:2" x14ac:dyDescent="0.3">
      <c r="A173" t="s">
        <v>703</v>
      </c>
      <c r="B173" s="27">
        <v>1.4835</v>
      </c>
    </row>
    <row r="174" spans="1:2" x14ac:dyDescent="0.3">
      <c r="A174" t="s">
        <v>704</v>
      </c>
      <c r="B174" s="27">
        <v>1.157381</v>
      </c>
    </row>
    <row r="175" spans="1:2" x14ac:dyDescent="0.3">
      <c r="A175" t="s">
        <v>705</v>
      </c>
      <c r="B175" s="27">
        <v>1.0405238000000001</v>
      </c>
    </row>
    <row r="176" spans="1:2" x14ac:dyDescent="0.3">
      <c r="A176" t="s">
        <v>706</v>
      </c>
      <c r="B176" s="27">
        <v>0.86099999999999999</v>
      </c>
    </row>
    <row r="177" spans="1:2" x14ac:dyDescent="0.3">
      <c r="A177" t="s">
        <v>707</v>
      </c>
      <c r="B177" s="27">
        <v>1.1651905</v>
      </c>
    </row>
    <row r="178" spans="1:2" x14ac:dyDescent="0.3">
      <c r="A178" t="s">
        <v>708</v>
      </c>
      <c r="B178" s="27">
        <v>1.4191818</v>
      </c>
    </row>
    <row r="179" spans="1:2" x14ac:dyDescent="0.3">
      <c r="A179" t="s">
        <v>709</v>
      </c>
      <c r="B179" s="27">
        <v>1.913087</v>
      </c>
    </row>
    <row r="180" spans="1:2" x14ac:dyDescent="0.3">
      <c r="A180" t="s">
        <v>710</v>
      </c>
      <c r="B180" s="27">
        <v>2.1383000000000001</v>
      </c>
    </row>
    <row r="181" spans="1:2" x14ac:dyDescent="0.3">
      <c r="A181" t="s">
        <v>711</v>
      </c>
      <c r="B181" s="27">
        <v>1.6926190000000001</v>
      </c>
    </row>
    <row r="182" spans="1:2" x14ac:dyDescent="0.3">
      <c r="A182" t="s">
        <v>712</v>
      </c>
      <c r="B182" s="27">
        <v>1.3565237999999999</v>
      </c>
    </row>
    <row r="183" spans="1:2" x14ac:dyDescent="0.3">
      <c r="A183" t="s">
        <v>713</v>
      </c>
      <c r="B183" s="27">
        <v>0.74304999999999999</v>
      </c>
    </row>
    <row r="184" spans="1:2" x14ac:dyDescent="0.3">
      <c r="A184" t="s">
        <v>714</v>
      </c>
      <c r="B184" s="27">
        <v>1.0354544999999999</v>
      </c>
    </row>
    <row r="185" spans="1:2" x14ac:dyDescent="0.3">
      <c r="A185" t="s">
        <v>715</v>
      </c>
      <c r="B185" s="27">
        <v>0.82230000000000003</v>
      </c>
    </row>
    <row r="186" spans="1:2" x14ac:dyDescent="0.3">
      <c r="A186" t="s">
        <v>716</v>
      </c>
      <c r="B186" s="27">
        <v>1.2817000000000001</v>
      </c>
    </row>
    <row r="187" spans="1:2" x14ac:dyDescent="0.3">
      <c r="A187" t="s">
        <v>717</v>
      </c>
      <c r="B187" s="27">
        <v>1.3279091000000001</v>
      </c>
    </row>
    <row r="188" spans="1:2" x14ac:dyDescent="0.3">
      <c r="A188" t="s">
        <v>718</v>
      </c>
      <c r="B188" s="27">
        <v>1.5749565000000001</v>
      </c>
    </row>
    <row r="189" spans="1:2" x14ac:dyDescent="0.3">
      <c r="A189" t="s">
        <v>719</v>
      </c>
      <c r="B189" s="27">
        <v>1.0604762000000001</v>
      </c>
    </row>
    <row r="190" spans="1:2" x14ac:dyDescent="0.3">
      <c r="A190" t="s">
        <v>720</v>
      </c>
      <c r="B190" s="27">
        <v>1.0720909000000001</v>
      </c>
    </row>
    <row r="191" spans="1:2" x14ac:dyDescent="0.3">
      <c r="A191" t="s">
        <v>721</v>
      </c>
      <c r="B191" s="27">
        <v>0.83750000000000002</v>
      </c>
    </row>
    <row r="192" spans="1:2" x14ac:dyDescent="0.3">
      <c r="A192" t="s">
        <v>722</v>
      </c>
      <c r="B192" s="27">
        <v>0.21619050000000001</v>
      </c>
    </row>
    <row r="193" spans="1:2" x14ac:dyDescent="0.3">
      <c r="A193" t="s">
        <v>723</v>
      </c>
      <c r="B193" s="27">
        <v>-0.1879545</v>
      </c>
    </row>
    <row r="194" spans="1:2" x14ac:dyDescent="0.3">
      <c r="A194" t="s">
        <v>724</v>
      </c>
      <c r="B194" s="27">
        <v>-0.22025</v>
      </c>
    </row>
    <row r="195" spans="1:2" x14ac:dyDescent="0.3">
      <c r="A195" t="s">
        <v>725</v>
      </c>
      <c r="B195" s="27">
        <v>-0.13830000000000001</v>
      </c>
    </row>
    <row r="196" spans="1:2" x14ac:dyDescent="0.3">
      <c r="A196" t="s">
        <v>726</v>
      </c>
      <c r="B196" s="27">
        <v>-0.95504350000000005</v>
      </c>
    </row>
    <row r="197" spans="1:2" x14ac:dyDescent="0.3">
      <c r="A197" t="s">
        <v>727</v>
      </c>
      <c r="B197" s="27">
        <v>-0.95530000000000004</v>
      </c>
    </row>
    <row r="198" spans="1:2" x14ac:dyDescent="0.3">
      <c r="A198" t="s">
        <v>728</v>
      </c>
      <c r="B198" s="27">
        <v>-1.0134761999999999</v>
      </c>
    </row>
    <row r="199" spans="1:2" x14ac:dyDescent="0.3">
      <c r="A199" t="s">
        <v>729</v>
      </c>
      <c r="B199" s="27">
        <v>-0.77240909999999996</v>
      </c>
    </row>
    <row r="200" spans="1:2" x14ac:dyDescent="0.3">
      <c r="A200" t="s">
        <v>730</v>
      </c>
      <c r="B200" s="27">
        <v>-0.85118179999999999</v>
      </c>
    </row>
    <row r="201" spans="1:2" x14ac:dyDescent="0.3">
      <c r="A201" t="s">
        <v>731</v>
      </c>
      <c r="B201" s="27">
        <v>-0.70450000000000002</v>
      </c>
    </row>
    <row r="202" spans="1:2" x14ac:dyDescent="0.3">
      <c r="A202" t="s">
        <v>732</v>
      </c>
      <c r="B202" s="27">
        <v>-1.0195000000000001</v>
      </c>
    </row>
    <row r="203" spans="1:2" x14ac:dyDescent="0.3">
      <c r="A203" t="s">
        <v>733</v>
      </c>
      <c r="B203" s="27">
        <v>-0.9023333</v>
      </c>
    </row>
    <row r="204" spans="1:2" x14ac:dyDescent="0.3">
      <c r="A204" t="s">
        <v>734</v>
      </c>
      <c r="B204" s="27">
        <v>-0.85795449999999995</v>
      </c>
    </row>
    <row r="205" spans="1:2" x14ac:dyDescent="0.3">
      <c r="A205" t="s">
        <v>735</v>
      </c>
      <c r="B205" s="27">
        <v>-1.1783043</v>
      </c>
    </row>
    <row r="206" spans="1:2" x14ac:dyDescent="0.3">
      <c r="A206" t="s">
        <v>736</v>
      </c>
      <c r="B206" s="27">
        <v>-1.2827618999999999</v>
      </c>
    </row>
    <row r="207" spans="1:2" x14ac:dyDescent="0.3">
      <c r="A207" t="s">
        <v>737</v>
      </c>
      <c r="B207" s="27">
        <v>-1.31325</v>
      </c>
    </row>
    <row r="208" spans="1:2" x14ac:dyDescent="0.3">
      <c r="A208" t="s">
        <v>738</v>
      </c>
      <c r="B208" s="27">
        <v>-1.5244783</v>
      </c>
    </row>
    <row r="209" spans="1:2" x14ac:dyDescent="0.3">
      <c r="A209" t="s">
        <v>739</v>
      </c>
      <c r="B209" s="27">
        <v>-1.4787895</v>
      </c>
    </row>
    <row r="210" spans="1:2" x14ac:dyDescent="0.3">
      <c r="A210" t="s">
        <v>740</v>
      </c>
      <c r="B210" s="27">
        <v>-1.2749090999999999</v>
      </c>
    </row>
    <row r="211" spans="1:2" x14ac:dyDescent="0.3">
      <c r="A211" t="s">
        <v>741</v>
      </c>
      <c r="B211" s="27">
        <v>-1.2114091</v>
      </c>
    </row>
    <row r="212" spans="1:2" x14ac:dyDescent="0.3">
      <c r="A212" t="s">
        <v>742</v>
      </c>
      <c r="B212" s="27">
        <v>-1.002381</v>
      </c>
    </row>
    <row r="213" spans="1:2" x14ac:dyDescent="0.3">
      <c r="A213" t="s">
        <v>743</v>
      </c>
      <c r="B213" s="27">
        <v>-0.94791300000000001</v>
      </c>
    </row>
    <row r="214" spans="1:2" x14ac:dyDescent="0.3">
      <c r="A214" t="s">
        <v>744</v>
      </c>
      <c r="B214" s="27">
        <v>-1.4635454999999999</v>
      </c>
    </row>
    <row r="215" spans="1:2" x14ac:dyDescent="0.3">
      <c r="A215" t="s">
        <v>745</v>
      </c>
      <c r="B215" s="27">
        <v>-1.4241429000000001</v>
      </c>
    </row>
    <row r="216" spans="1:2" x14ac:dyDescent="0.3">
      <c r="A216" t="s">
        <v>746</v>
      </c>
      <c r="B216" s="27">
        <v>-1.5153182000000001</v>
      </c>
    </row>
    <row r="217" spans="1:2" x14ac:dyDescent="0.3">
      <c r="A217" t="s">
        <v>747</v>
      </c>
      <c r="B217" s="27">
        <v>-1.3739048</v>
      </c>
    </row>
    <row r="218" spans="1:2" x14ac:dyDescent="0.3">
      <c r="A218" t="s">
        <v>748</v>
      </c>
      <c r="B218" s="27">
        <v>-1.4777727000000001</v>
      </c>
    </row>
    <row r="219" spans="1:2" x14ac:dyDescent="0.3">
      <c r="A219" t="s">
        <v>749</v>
      </c>
      <c r="B219" s="27">
        <v>-1.6517143000000001</v>
      </c>
    </row>
    <row r="220" spans="1:2" x14ac:dyDescent="0.3">
      <c r="A220" t="s">
        <v>750</v>
      </c>
      <c r="B220" s="27">
        <v>-1.8415455000000001</v>
      </c>
    </row>
    <row r="221" spans="1:2" x14ac:dyDescent="0.3">
      <c r="A221" t="s">
        <v>751</v>
      </c>
      <c r="B221" s="27">
        <v>-1.8556842</v>
      </c>
    </row>
    <row r="222" spans="1:2" x14ac:dyDescent="0.3">
      <c r="A222" t="s">
        <v>752</v>
      </c>
      <c r="B222" s="27">
        <v>-1.7150909000000001</v>
      </c>
    </row>
    <row r="223" spans="1:2" x14ac:dyDescent="0.3">
      <c r="A223" t="s">
        <v>753</v>
      </c>
      <c r="B223" s="27">
        <v>-1.7411429</v>
      </c>
    </row>
    <row r="224" spans="1:2" x14ac:dyDescent="0.3">
      <c r="A224" t="s">
        <v>754</v>
      </c>
      <c r="B224" s="27">
        <v>-1.9029545000000001</v>
      </c>
    </row>
    <row r="225" spans="1:2" x14ac:dyDescent="0.3">
      <c r="A225" t="s">
        <v>755</v>
      </c>
      <c r="B225" s="27">
        <v>-2.2676086999999998</v>
      </c>
    </row>
    <row r="226" spans="1:2" x14ac:dyDescent="0.3">
      <c r="A226" t="s">
        <v>756</v>
      </c>
      <c r="B226" s="27">
        <v>-2.3536999999999999</v>
      </c>
    </row>
    <row r="227" spans="1:2" x14ac:dyDescent="0.3">
      <c r="A227" t="s">
        <v>757</v>
      </c>
      <c r="B227" s="27">
        <v>-2.292087</v>
      </c>
    </row>
    <row r="228" spans="1:2" x14ac:dyDescent="0.3">
      <c r="A228" t="s">
        <v>758</v>
      </c>
      <c r="B228" s="27">
        <v>-2.008</v>
      </c>
    </row>
    <row r="229" spans="1:2" x14ac:dyDescent="0.3">
      <c r="A229" t="s">
        <v>759</v>
      </c>
      <c r="B229" s="27">
        <v>-2.0145263</v>
      </c>
    </row>
    <row r="230" spans="1:2" x14ac:dyDescent="0.3">
      <c r="A230" t="s">
        <v>760</v>
      </c>
      <c r="B230" s="27">
        <v>-1.7950908999999999</v>
      </c>
    </row>
    <row r="231" spans="1:2" x14ac:dyDescent="0.3">
      <c r="A231" t="s">
        <v>761</v>
      </c>
      <c r="B231" s="27">
        <v>-1.67665</v>
      </c>
    </row>
    <row r="232" spans="1:2" x14ac:dyDescent="0.3">
      <c r="A232" t="s">
        <v>762</v>
      </c>
      <c r="B232" s="27">
        <v>-1.4939499999999999</v>
      </c>
    </row>
    <row r="233" spans="1:2" x14ac:dyDescent="0.3">
      <c r="A233" t="s">
        <v>763</v>
      </c>
      <c r="B233" s="27">
        <v>-0.99109519999999995</v>
      </c>
    </row>
    <row r="234" spans="1:2" x14ac:dyDescent="0.3">
      <c r="A234" t="s">
        <v>764</v>
      </c>
      <c r="B234" s="27">
        <v>-1.1987726999999999</v>
      </c>
    </row>
    <row r="235" spans="1:2" x14ac:dyDescent="0.3">
      <c r="A235" t="s">
        <v>765</v>
      </c>
      <c r="B235" s="27">
        <v>-1.38975</v>
      </c>
    </row>
    <row r="236" spans="1:2" x14ac:dyDescent="0.3">
      <c r="A236" t="s">
        <v>766</v>
      </c>
      <c r="B236" s="27">
        <v>-1.3785651999999999</v>
      </c>
    </row>
    <row r="237" spans="1:2" x14ac:dyDescent="0.3">
      <c r="A237" t="s">
        <v>767</v>
      </c>
      <c r="B237" s="27">
        <v>-1.0741364</v>
      </c>
    </row>
    <row r="238" spans="1:2" x14ac:dyDescent="0.3">
      <c r="A238" t="s">
        <v>768</v>
      </c>
      <c r="B238" s="27">
        <v>-0.87676189999999998</v>
      </c>
    </row>
    <row r="239" spans="1:2" x14ac:dyDescent="0.3">
      <c r="A239" t="s">
        <v>769</v>
      </c>
      <c r="B239" s="27">
        <v>-0.47417389999999998</v>
      </c>
    </row>
    <row r="240" spans="1:2" x14ac:dyDescent="0.3">
      <c r="A240" t="s">
        <v>770</v>
      </c>
      <c r="B240" s="27">
        <v>-0.67661899999999997</v>
      </c>
    </row>
    <row r="241" spans="1:2" x14ac:dyDescent="0.3">
      <c r="A241" t="s">
        <v>771</v>
      </c>
      <c r="B241" s="27">
        <v>-0.52649999999999997</v>
      </c>
    </row>
    <row r="242" spans="1:2" x14ac:dyDescent="0.3">
      <c r="A242" t="s">
        <v>772</v>
      </c>
      <c r="B242" s="27">
        <v>-0.50795449999999998</v>
      </c>
    </row>
    <row r="243" spans="1:2" x14ac:dyDescent="0.3">
      <c r="A243" t="s">
        <v>773</v>
      </c>
      <c r="B243" s="27">
        <v>-0.41189999999999999</v>
      </c>
    </row>
    <row r="244" spans="1:2" x14ac:dyDescent="0.3">
      <c r="A244" t="s">
        <v>774</v>
      </c>
      <c r="B244" s="27">
        <v>-0.1946667</v>
      </c>
    </row>
    <row r="245" spans="1:2" x14ac:dyDescent="0.3">
      <c r="A245" t="s">
        <v>775</v>
      </c>
      <c r="B245" s="27">
        <v>-0.37025000000000002</v>
      </c>
    </row>
    <row r="246" spans="1:2" x14ac:dyDescent="0.3">
      <c r="A246" t="s">
        <v>776</v>
      </c>
      <c r="B246" s="27">
        <v>-0.17542859999999999</v>
      </c>
    </row>
    <row r="247" spans="1:2" x14ac:dyDescent="0.3">
      <c r="A247" t="s">
        <v>777</v>
      </c>
      <c r="B247" s="27">
        <v>-0.25857140000000001</v>
      </c>
    </row>
    <row r="248" spans="1:2" x14ac:dyDescent="0.3">
      <c r="A248" t="s">
        <v>778</v>
      </c>
      <c r="B248" s="27">
        <v>-0.1949565</v>
      </c>
    </row>
    <row r="249" spans="1:2" x14ac:dyDescent="0.3">
      <c r="A249" t="s">
        <v>779</v>
      </c>
      <c r="B249" s="27">
        <v>-0.20842859999999999</v>
      </c>
    </row>
    <row r="250" spans="1:2" x14ac:dyDescent="0.3">
      <c r="A250" t="s">
        <v>780</v>
      </c>
      <c r="B250" s="27">
        <v>-0.20290910000000001</v>
      </c>
    </row>
    <row r="251" spans="1:2" x14ac:dyDescent="0.3">
      <c r="A251" t="s">
        <v>781</v>
      </c>
      <c r="B251" s="27">
        <v>-0.31739129999999999</v>
      </c>
    </row>
    <row r="252" spans="1:2" x14ac:dyDescent="0.3">
      <c r="A252" t="s">
        <v>782</v>
      </c>
      <c r="B252" s="27">
        <v>-0.21909999999999999</v>
      </c>
    </row>
    <row r="253" spans="1:2" x14ac:dyDescent="0.3">
      <c r="A253" t="s">
        <v>783</v>
      </c>
      <c r="B253" s="27">
        <v>0.28090480000000001</v>
      </c>
    </row>
    <row r="254" spans="1:2" x14ac:dyDescent="0.3">
      <c r="A254" t="s">
        <v>784</v>
      </c>
      <c r="B254" s="27">
        <v>0.66266670000000005</v>
      </c>
    </row>
    <row r="255" spans="1:2" x14ac:dyDescent="0.3">
      <c r="A255" t="s">
        <v>785</v>
      </c>
      <c r="B255" s="27">
        <v>0.34820000000000001</v>
      </c>
    </row>
    <row r="256" spans="1:2" x14ac:dyDescent="0.3">
      <c r="A256" t="s">
        <v>786</v>
      </c>
      <c r="B256" s="27">
        <v>0.12718180000000001</v>
      </c>
    </row>
    <row r="257" spans="1:2" x14ac:dyDescent="0.3">
      <c r="A257" t="s">
        <v>787</v>
      </c>
      <c r="B257" s="27">
        <v>-0.1953</v>
      </c>
    </row>
    <row r="258" spans="1:2" x14ac:dyDescent="0.3">
      <c r="A258" t="s">
        <v>788</v>
      </c>
      <c r="B258" s="27">
        <v>-0.61036840000000003</v>
      </c>
    </row>
    <row r="259" spans="1:2" x14ac:dyDescent="0.3">
      <c r="A259" t="s">
        <v>789</v>
      </c>
      <c r="B259" s="27">
        <v>-0.51390910000000001</v>
      </c>
    </row>
    <row r="260" spans="1:2" x14ac:dyDescent="0.3">
      <c r="A260" t="s">
        <v>790</v>
      </c>
      <c r="B260" s="27">
        <v>-0.51873910000000001</v>
      </c>
    </row>
    <row r="261" spans="1:2" x14ac:dyDescent="0.3">
      <c r="A261" t="s">
        <v>791</v>
      </c>
      <c r="B261" s="27">
        <v>-0.42766670000000001</v>
      </c>
    </row>
    <row r="262" spans="1:2" x14ac:dyDescent="0.3">
      <c r="A262" t="s">
        <v>792</v>
      </c>
      <c r="B262" s="27">
        <v>-0.23704549999999999</v>
      </c>
    </row>
    <row r="263" spans="1:2" x14ac:dyDescent="0.3">
      <c r="A263" t="s">
        <v>793</v>
      </c>
      <c r="B263" s="27">
        <v>-0.45359090000000002</v>
      </c>
    </row>
    <row r="264" spans="1:2" x14ac:dyDescent="0.3">
      <c r="A264" t="s">
        <v>794</v>
      </c>
      <c r="B264" s="27">
        <v>-0.18761900000000001</v>
      </c>
    </row>
    <row r="265" spans="1:2" x14ac:dyDescent="0.3">
      <c r="A265" t="s">
        <v>795</v>
      </c>
      <c r="B265" s="27">
        <v>-0.42631819999999998</v>
      </c>
    </row>
    <row r="266" spans="1:2" x14ac:dyDescent="0.3">
      <c r="A266" t="s">
        <v>796</v>
      </c>
      <c r="B266" s="27">
        <v>-0.44614999999999999</v>
      </c>
    </row>
    <row r="267" spans="1:2" x14ac:dyDescent="0.3">
      <c r="A267" t="s">
        <v>797</v>
      </c>
      <c r="B267" s="27">
        <v>-8.3571400000000004E-2</v>
      </c>
    </row>
    <row r="268" spans="1:2" x14ac:dyDescent="0.3">
      <c r="A268" t="s">
        <v>798</v>
      </c>
      <c r="B268" s="27">
        <v>-0.2285238</v>
      </c>
    </row>
    <row r="269" spans="1:2" x14ac:dyDescent="0.3">
      <c r="A269" t="s">
        <v>799</v>
      </c>
      <c r="B269" s="27">
        <v>5.08095E-2</v>
      </c>
    </row>
    <row r="270" spans="1:2" x14ac:dyDescent="0.3">
      <c r="A270" t="s">
        <v>800</v>
      </c>
      <c r="B270" s="27">
        <v>-0.15718180000000001</v>
      </c>
    </row>
    <row r="271" spans="1:2" x14ac:dyDescent="0.3">
      <c r="A271" t="s">
        <v>801</v>
      </c>
      <c r="B271" s="27">
        <v>-0.26790910000000001</v>
      </c>
    </row>
    <row r="272" spans="1:2" x14ac:dyDescent="0.3">
      <c r="A272" t="s">
        <v>802</v>
      </c>
      <c r="B272" s="27">
        <v>-0.49452380000000001</v>
      </c>
    </row>
    <row r="273" spans="1:2" x14ac:dyDescent="0.3">
      <c r="A273" t="s">
        <v>803</v>
      </c>
      <c r="B273" s="27">
        <v>-0.49821739999999998</v>
      </c>
    </row>
    <row r="274" spans="1:2" x14ac:dyDescent="0.3">
      <c r="A274" t="s">
        <v>804</v>
      </c>
      <c r="B274" s="27">
        <v>-0.70163640000000005</v>
      </c>
    </row>
    <row r="275" spans="1:2" x14ac:dyDescent="0.3">
      <c r="A275" t="s">
        <v>805</v>
      </c>
      <c r="B275" s="27">
        <v>-0.80900000000000005</v>
      </c>
    </row>
    <row r="276" spans="1:2" x14ac:dyDescent="0.3">
      <c r="A276" t="s">
        <v>806</v>
      </c>
      <c r="B276" s="27">
        <v>-0.91268179999999999</v>
      </c>
    </row>
    <row r="277" spans="1:2" x14ac:dyDescent="0.3">
      <c r="A277" t="s">
        <v>807</v>
      </c>
      <c r="B277" s="27">
        <v>-1.4157618999999999</v>
      </c>
    </row>
    <row r="278" spans="1:2" x14ac:dyDescent="0.3">
      <c r="A278" t="s">
        <v>808</v>
      </c>
      <c r="B278" s="27">
        <v>-2.0255455000000002</v>
      </c>
    </row>
    <row r="279" spans="1:2" x14ac:dyDescent="0.3">
      <c r="A279" t="s">
        <v>809</v>
      </c>
      <c r="B279" s="27">
        <v>-2.3285999999999998</v>
      </c>
    </row>
    <row r="280" spans="1:2" x14ac:dyDescent="0.3">
      <c r="A280" t="s">
        <v>810</v>
      </c>
      <c r="B280" s="27">
        <v>-1.8293478000000001</v>
      </c>
    </row>
    <row r="281" spans="1:2" x14ac:dyDescent="0.3">
      <c r="A281" t="s">
        <v>811</v>
      </c>
      <c r="B281" s="27">
        <v>-2.2303888999999999</v>
      </c>
    </row>
    <row r="282" spans="1:2" x14ac:dyDescent="0.3">
      <c r="A282" t="s">
        <v>812</v>
      </c>
      <c r="B282" s="27">
        <v>-1.7294544999999999</v>
      </c>
    </row>
    <row r="283" spans="1:2" x14ac:dyDescent="0.3">
      <c r="A283" t="s">
        <v>813</v>
      </c>
      <c r="B283" s="27">
        <v>-1.63</v>
      </c>
    </row>
    <row r="284" spans="1:2" x14ac:dyDescent="0.3">
      <c r="A284" t="s">
        <v>814</v>
      </c>
      <c r="B284" s="27">
        <v>-1.6304285999999999</v>
      </c>
    </row>
    <row r="285" spans="1:2" x14ac:dyDescent="0.3">
      <c r="A285" t="s">
        <v>815</v>
      </c>
      <c r="B285" s="27">
        <v>-1.8290869999999999</v>
      </c>
    </row>
    <row r="286" spans="1:2" x14ac:dyDescent="0.3">
      <c r="A286" t="s">
        <v>816</v>
      </c>
      <c r="B286" s="27">
        <v>-1.929381</v>
      </c>
    </row>
    <row r="287" spans="1:2" x14ac:dyDescent="0.3">
      <c r="A287" t="s">
        <v>817</v>
      </c>
      <c r="B287" s="27">
        <v>-1.7295455</v>
      </c>
    </row>
    <row r="288" spans="1:2" x14ac:dyDescent="0.3">
      <c r="A288" t="s">
        <v>818</v>
      </c>
      <c r="B288" s="27">
        <v>-1.829</v>
      </c>
    </row>
    <row r="289" spans="1:2" x14ac:dyDescent="0.3">
      <c r="A289" t="s">
        <v>819</v>
      </c>
      <c r="B289" s="27">
        <v>-1.6278946999999999</v>
      </c>
    </row>
    <row r="290" spans="1:2" x14ac:dyDescent="0.3">
      <c r="A290" t="s">
        <v>820</v>
      </c>
      <c r="B290" s="27">
        <v>-1.6284544999999999</v>
      </c>
    </row>
    <row r="291" spans="1:2" x14ac:dyDescent="0.3">
      <c r="A291" t="s">
        <v>821</v>
      </c>
      <c r="B291" s="27">
        <v>-1.4285000000000001</v>
      </c>
    </row>
    <row r="292" spans="1:2" x14ac:dyDescent="0.3">
      <c r="A292" t="s">
        <v>822</v>
      </c>
      <c r="B292" s="27">
        <v>-1.7279047999999999</v>
      </c>
    </row>
    <row r="293" spans="1:2" x14ac:dyDescent="0.3">
      <c r="A293" t="s">
        <v>823</v>
      </c>
      <c r="B293" s="27">
        <v>-1.5284500000000001</v>
      </c>
    </row>
    <row r="294" spans="1:2" x14ac:dyDescent="0.3">
      <c r="A294" t="s">
        <v>824</v>
      </c>
      <c r="B294" s="27">
        <v>-2.3252272999999999</v>
      </c>
    </row>
    <row r="295" spans="1:2" x14ac:dyDescent="0.3">
      <c r="A295" t="s">
        <v>825</v>
      </c>
      <c r="B295" s="27">
        <v>-2.3220475999999999</v>
      </c>
    </row>
    <row r="296" spans="1:2" x14ac:dyDescent="0.3">
      <c r="A296" t="s">
        <v>826</v>
      </c>
      <c r="B296" s="27">
        <v>-2.5207272999999999</v>
      </c>
    </row>
    <row r="297" spans="1:2" x14ac:dyDescent="0.3">
      <c r="A297" t="s">
        <v>827</v>
      </c>
      <c r="B297" s="27">
        <v>-2.419</v>
      </c>
    </row>
    <row r="298" spans="1:2" x14ac:dyDescent="0.3">
      <c r="A298" t="s">
        <v>828</v>
      </c>
      <c r="B298" s="27">
        <v>-2.4188499999999999</v>
      </c>
    </row>
    <row r="299" spans="1:2" x14ac:dyDescent="0.3">
      <c r="A299" t="s">
        <v>829</v>
      </c>
      <c r="B299" s="27">
        <v>-2.6176957000000001</v>
      </c>
    </row>
    <row r="300" spans="1:2" x14ac:dyDescent="0.3">
      <c r="A300" t="s">
        <v>830</v>
      </c>
      <c r="B300" s="27">
        <v>-2.2163636000000002</v>
      </c>
    </row>
    <row r="301" spans="1:2" x14ac:dyDescent="0.3">
      <c r="A301" t="s">
        <v>831</v>
      </c>
      <c r="B301" s="27">
        <v>-1.8118947000000001</v>
      </c>
    </row>
    <row r="302" spans="1:2" x14ac:dyDescent="0.3">
      <c r="A302" t="s">
        <v>832</v>
      </c>
      <c r="B302" s="27">
        <v>-1.708</v>
      </c>
    </row>
    <row r="303" spans="1:2" x14ac:dyDescent="0.3">
      <c r="A303" t="s">
        <v>833</v>
      </c>
      <c r="B303" s="27">
        <v>-1.8084499999999999</v>
      </c>
    </row>
    <row r="304" spans="1:2" x14ac:dyDescent="0.3">
      <c r="A304" t="s">
        <v>834</v>
      </c>
      <c r="B304" s="27">
        <v>-1.7091905000000001</v>
      </c>
    </row>
    <row r="305" spans="1:2" x14ac:dyDescent="0.3">
      <c r="A305" t="s">
        <v>835</v>
      </c>
      <c r="B305" s="27">
        <v>-2.0104500000000001</v>
      </c>
    </row>
    <row r="306" spans="1:2" x14ac:dyDescent="0.3">
      <c r="A306" t="s">
        <v>836</v>
      </c>
      <c r="B306" s="27">
        <v>-1.5118636000000001</v>
      </c>
    </row>
    <row r="307" spans="1:2" x14ac:dyDescent="0.3">
      <c r="A307" t="s">
        <v>837</v>
      </c>
      <c r="B307" s="27">
        <v>-1.6289</v>
      </c>
    </row>
    <row r="308" spans="1:2" x14ac:dyDescent="0.3">
      <c r="A308" t="s">
        <v>838</v>
      </c>
      <c r="B308" s="27">
        <v>-1.3648696</v>
      </c>
    </row>
    <row r="309" spans="1:2" x14ac:dyDescent="0.3">
      <c r="A309" t="s">
        <v>839</v>
      </c>
      <c r="B309" s="27">
        <v>-1.4076818</v>
      </c>
    </row>
    <row r="310" spans="1:2" x14ac:dyDescent="0.3">
      <c r="A310" t="s">
        <v>840</v>
      </c>
      <c r="B310" s="27">
        <v>-1.2175714</v>
      </c>
    </row>
    <row r="311" spans="1:2" x14ac:dyDescent="0.3">
      <c r="A311" t="s">
        <v>841</v>
      </c>
      <c r="B311" s="27">
        <v>-1.1128696</v>
      </c>
    </row>
    <row r="312" spans="1:2" x14ac:dyDescent="0.3">
      <c r="A312" t="s">
        <v>842</v>
      </c>
      <c r="B312" s="27">
        <v>-1.4012857000000001</v>
      </c>
    </row>
    <row r="313" spans="1:2" x14ac:dyDescent="0.3">
      <c r="A313" t="s">
        <v>843</v>
      </c>
      <c r="B313" s="27">
        <v>-1.6947000000000001</v>
      </c>
    </row>
    <row r="314" spans="1:2" x14ac:dyDescent="0.3">
      <c r="A314" t="s">
        <v>844</v>
      </c>
      <c r="B314" s="27">
        <v>-1.7911364000000001</v>
      </c>
    </row>
    <row r="315" spans="1:2" x14ac:dyDescent="0.3">
      <c r="A315" t="s">
        <v>845</v>
      </c>
      <c r="B315" s="27">
        <v>-1.6088499999999999</v>
      </c>
    </row>
    <row r="316" spans="1:2" x14ac:dyDescent="0.3">
      <c r="A316" t="s">
        <v>846</v>
      </c>
      <c r="B316" s="27">
        <v>-1.1166364</v>
      </c>
    </row>
    <row r="317" spans="1:2" x14ac:dyDescent="0.3">
      <c r="A317" t="s">
        <v>847</v>
      </c>
      <c r="B317" s="27">
        <v>-0.55405000000000004</v>
      </c>
    </row>
    <row r="318" spans="1:2" x14ac:dyDescent="0.3">
      <c r="A318" t="s">
        <v>848</v>
      </c>
      <c r="B318" s="27">
        <v>-0.37195</v>
      </c>
    </row>
    <row r="319" spans="1:2" x14ac:dyDescent="0.3">
      <c r="A319" t="s">
        <v>849</v>
      </c>
      <c r="B319" s="27">
        <v>-0.67600000000000005</v>
      </c>
    </row>
    <row r="320" spans="1:2" x14ac:dyDescent="0.3">
      <c r="A320" t="s">
        <v>850</v>
      </c>
      <c r="B320" s="27">
        <v>-0.84413039999999995</v>
      </c>
    </row>
    <row r="321" spans="1:2" x14ac:dyDescent="0.3">
      <c r="A321" t="s">
        <v>851</v>
      </c>
      <c r="B321" s="27">
        <v>-0.27971430000000003</v>
      </c>
    </row>
    <row r="322" spans="1:2" x14ac:dyDescent="0.3">
      <c r="A322" t="s">
        <v>852</v>
      </c>
      <c r="B322" s="27">
        <v>-0.19136359999999999</v>
      </c>
    </row>
    <row r="323" spans="1:2" x14ac:dyDescent="0.3">
      <c r="A323" t="s">
        <v>853</v>
      </c>
      <c r="B323" s="27">
        <v>-0.2091364</v>
      </c>
    </row>
    <row r="324" spans="1:2" x14ac:dyDescent="0.3">
      <c r="A324" t="s">
        <v>854</v>
      </c>
      <c r="B324" s="27">
        <v>-0.2208571</v>
      </c>
    </row>
    <row r="325" spans="1:2" x14ac:dyDescent="0.3">
      <c r="A325" t="s">
        <v>855</v>
      </c>
      <c r="B325" s="27">
        <v>-0.23809089999999999</v>
      </c>
    </row>
    <row r="326" spans="1:2" x14ac:dyDescent="0.3">
      <c r="A326" t="s">
        <v>856</v>
      </c>
      <c r="B326" s="27">
        <v>-1.4471499999999999</v>
      </c>
    </row>
    <row r="327" spans="1:2" x14ac:dyDescent="0.3">
      <c r="A327" t="s">
        <v>857</v>
      </c>
      <c r="B327" s="27">
        <v>-1.4411</v>
      </c>
    </row>
    <row r="328" spans="1:2" x14ac:dyDescent="0.3">
      <c r="A328" t="s">
        <v>858</v>
      </c>
      <c r="B328" s="27">
        <v>-1.8390869999999999</v>
      </c>
    </row>
    <row r="329" spans="1:2" x14ac:dyDescent="0.3">
      <c r="A329" t="s">
        <v>859</v>
      </c>
      <c r="B329" s="27">
        <v>-2.13815</v>
      </c>
    </row>
    <row r="330" spans="1:2" x14ac:dyDescent="0.3">
      <c r="A330" t="s">
        <v>860</v>
      </c>
      <c r="B330" s="27">
        <v>-2.5400952000000001</v>
      </c>
    </row>
    <row r="331" spans="1:2" x14ac:dyDescent="0.3">
      <c r="A331" t="s">
        <v>861</v>
      </c>
      <c r="B331" s="27">
        <v>-2.4429091000000001</v>
      </c>
    </row>
    <row r="332" spans="1:2" x14ac:dyDescent="0.3">
      <c r="A332" t="s">
        <v>862</v>
      </c>
      <c r="B332" s="27">
        <v>-2.7448182000000001</v>
      </c>
    </row>
    <row r="333" spans="1:2" x14ac:dyDescent="0.3">
      <c r="A333" t="s">
        <v>863</v>
      </c>
      <c r="B333" s="27">
        <v>-3.5475908999999999</v>
      </c>
    </row>
    <row r="334" spans="1:2" x14ac:dyDescent="0.3">
      <c r="A334" t="s">
        <v>864</v>
      </c>
      <c r="B334" s="27">
        <v>-3.9450455</v>
      </c>
    </row>
    <row r="335" spans="1:2" x14ac:dyDescent="0.3">
      <c r="A335" t="s">
        <v>865</v>
      </c>
      <c r="B335" s="27">
        <v>-4.6498094999999999</v>
      </c>
    </row>
    <row r="336" spans="1:2" x14ac:dyDescent="0.3">
      <c r="A336" t="s">
        <v>866</v>
      </c>
      <c r="B336" s="27">
        <v>-5.4673635999999997</v>
      </c>
    </row>
    <row r="337" spans="1:2" x14ac:dyDescent="0.3">
      <c r="A337" t="s">
        <v>867</v>
      </c>
      <c r="B337" s="27">
        <v>-5.5819565000000004</v>
      </c>
    </row>
    <row r="338" spans="1:2" x14ac:dyDescent="0.3">
      <c r="A338" t="s">
        <v>868</v>
      </c>
      <c r="B338" s="27">
        <v>-5.6601429000000003</v>
      </c>
    </row>
    <row r="339" spans="1:2" x14ac:dyDescent="0.3">
      <c r="A339" t="s">
        <v>869</v>
      </c>
      <c r="B339" s="27">
        <v>-6.4314999999999998</v>
      </c>
    </row>
    <row r="340" spans="1:2" x14ac:dyDescent="0.3">
      <c r="A340" t="s">
        <v>870</v>
      </c>
      <c r="B340" s="27">
        <v>-7.8954348000000003</v>
      </c>
    </row>
    <row r="341" spans="1:2" x14ac:dyDescent="0.3">
      <c r="A341" t="s">
        <v>871</v>
      </c>
      <c r="B341" s="27">
        <v>-7.8478947000000003</v>
      </c>
    </row>
    <row r="342" spans="1:2" x14ac:dyDescent="0.3">
      <c r="A342" t="s">
        <v>872</v>
      </c>
      <c r="B342" s="27">
        <v>-8.4857273000000006</v>
      </c>
    </row>
    <row r="343" spans="1:2" x14ac:dyDescent="0.3">
      <c r="A343" t="s">
        <v>873</v>
      </c>
      <c r="B343" s="27">
        <v>-8.8392272999999992</v>
      </c>
    </row>
    <row r="344" spans="1:2" x14ac:dyDescent="0.3">
      <c r="A344" t="s">
        <v>874</v>
      </c>
      <c r="B344" s="27">
        <v>-8.8633810000000004</v>
      </c>
    </row>
    <row r="345" spans="1:2" x14ac:dyDescent="0.3">
      <c r="A345" t="s">
        <v>875</v>
      </c>
      <c r="B345" s="27">
        <v>-8.7052609000000007</v>
      </c>
    </row>
    <row r="346" spans="1:2" x14ac:dyDescent="0.3">
      <c r="A346" t="s">
        <v>876</v>
      </c>
      <c r="B346" s="27">
        <v>-8.8891363999999999</v>
      </c>
    </row>
    <row r="347" spans="1:2" x14ac:dyDescent="0.3">
      <c r="A347" t="s">
        <v>877</v>
      </c>
      <c r="B347" s="27">
        <v>-9.1723333</v>
      </c>
    </row>
    <row r="348" spans="1:2" x14ac:dyDescent="0.3">
      <c r="A348" t="s">
        <v>878</v>
      </c>
      <c r="B348" s="27">
        <v>-8.2747726999999998</v>
      </c>
    </row>
    <row r="349" spans="1:2" x14ac:dyDescent="0.3">
      <c r="A349" t="s">
        <v>879</v>
      </c>
      <c r="B349" s="27">
        <v>-7.1365238</v>
      </c>
    </row>
    <row r="350" spans="1:2" x14ac:dyDescent="0.3">
      <c r="A350" t="s">
        <v>880</v>
      </c>
      <c r="B350" s="27">
        <v>-6.2551363999999996</v>
      </c>
    </row>
    <row r="351" spans="1:2" x14ac:dyDescent="0.3">
      <c r="A351" t="s">
        <v>881</v>
      </c>
      <c r="B351" s="27">
        <v>-5.8596500000000002</v>
      </c>
    </row>
    <row r="352" spans="1:2" x14ac:dyDescent="0.3">
      <c r="A352" t="s">
        <v>882</v>
      </c>
      <c r="B352" s="27">
        <v>-3.9894348000000002</v>
      </c>
    </row>
    <row r="353" spans="1:2" x14ac:dyDescent="0.3">
      <c r="A353" t="s">
        <v>883</v>
      </c>
      <c r="B353" s="27">
        <v>-3.8330000000000002</v>
      </c>
    </row>
    <row r="354" spans="1:2" x14ac:dyDescent="0.3">
      <c r="A354" t="s">
        <v>884</v>
      </c>
      <c r="B354" s="27">
        <v>-2.7335652000000001</v>
      </c>
    </row>
    <row r="355" spans="1:2" x14ac:dyDescent="0.3">
      <c r="A355" t="s">
        <v>885</v>
      </c>
      <c r="B355" s="27">
        <v>-1.9641363999999999</v>
      </c>
    </row>
    <row r="356" spans="1:2" x14ac:dyDescent="0.3">
      <c r="A356" t="s">
        <v>886</v>
      </c>
      <c r="B356" s="27">
        <v>-1.6281905000000001</v>
      </c>
    </row>
    <row r="357" spans="1:2" x14ac:dyDescent="0.3">
      <c r="A357" t="s">
        <v>887</v>
      </c>
      <c r="B357" s="27">
        <v>-1.4196956999999999</v>
      </c>
    </row>
    <row r="358" spans="1:2" x14ac:dyDescent="0.3">
      <c r="A358" t="s">
        <v>888</v>
      </c>
      <c r="B358" s="27">
        <v>-0.4199524</v>
      </c>
    </row>
    <row r="359" spans="1:2" x14ac:dyDescent="0.3">
      <c r="A359" t="s">
        <v>889</v>
      </c>
      <c r="B359" s="27">
        <v>1.0676364</v>
      </c>
    </row>
    <row r="360" spans="1:2" x14ac:dyDescent="0.3">
      <c r="A360" t="s">
        <v>890</v>
      </c>
      <c r="B360" s="27">
        <v>1.5716364</v>
      </c>
    </row>
    <row r="361" spans="1:2" x14ac:dyDescent="0.3">
      <c r="A361" t="s">
        <v>891</v>
      </c>
      <c r="B361" s="27">
        <v>1.0330952</v>
      </c>
    </row>
    <row r="362" spans="1:2" x14ac:dyDescent="0.3">
      <c r="A362" t="s">
        <v>892</v>
      </c>
      <c r="B362" s="27">
        <v>1.1252727</v>
      </c>
    </row>
    <row r="363" spans="1:2" x14ac:dyDescent="0.3">
      <c r="A363" t="s">
        <v>893</v>
      </c>
      <c r="B363" s="27">
        <v>1.3231904999999999</v>
      </c>
    </row>
    <row r="364" spans="1:2" x14ac:dyDescent="0.3">
      <c r="A364" t="s">
        <v>894</v>
      </c>
      <c r="B364" s="27">
        <v>1.522381</v>
      </c>
    </row>
    <row r="365" spans="1:2" x14ac:dyDescent="0.3">
      <c r="A365" t="s">
        <v>895</v>
      </c>
      <c r="B365" s="27">
        <v>1.4863636</v>
      </c>
    </row>
    <row r="366" spans="1:2" x14ac:dyDescent="0.3">
      <c r="A366" t="s">
        <v>896</v>
      </c>
      <c r="B366" s="27">
        <v>1.2136522000000001</v>
      </c>
    </row>
    <row r="367" spans="1:2" x14ac:dyDescent="0.3">
      <c r="A367" t="s">
        <v>897</v>
      </c>
      <c r="B367" s="27">
        <v>1.2244999999999999</v>
      </c>
    </row>
    <row r="368" spans="1:2" x14ac:dyDescent="0.3">
      <c r="A368" t="s">
        <v>898</v>
      </c>
      <c r="B368" s="27">
        <v>1.0848260999999999</v>
      </c>
    </row>
    <row r="369" spans="1:2" x14ac:dyDescent="0.3">
      <c r="A369" t="s">
        <v>899</v>
      </c>
      <c r="B369" s="27">
        <v>1.3475908999999999</v>
      </c>
    </row>
    <row r="370" spans="1:2" x14ac:dyDescent="0.3">
      <c r="A370" t="s">
        <v>900</v>
      </c>
      <c r="B370" s="27">
        <v>1.7337142999999999</v>
      </c>
    </row>
    <row r="371" spans="1:2" x14ac:dyDescent="0.3">
      <c r="A371" t="s">
        <v>901</v>
      </c>
      <c r="B371" s="27">
        <v>1.1666087000000001</v>
      </c>
    </row>
    <row r="372" spans="1:2" x14ac:dyDescent="0.3">
      <c r="A372" t="s">
        <v>902</v>
      </c>
      <c r="B372" s="27">
        <v>0.80676190000000003</v>
      </c>
    </row>
    <row r="373" spans="1:2" x14ac:dyDescent="0.3">
      <c r="A373" t="s">
        <v>903</v>
      </c>
      <c r="B373" s="27">
        <v>0.41609089999999999</v>
      </c>
    </row>
    <row r="374" spans="1:2" x14ac:dyDescent="0.3">
      <c r="A374" t="s">
        <v>904</v>
      </c>
      <c r="B374" s="27">
        <v>0.20313039999999999</v>
      </c>
    </row>
    <row r="375" spans="1:2" x14ac:dyDescent="0.3">
      <c r="A375" t="s">
        <v>905</v>
      </c>
      <c r="B375" s="27">
        <v>0.22495000000000001</v>
      </c>
    </row>
    <row r="376" spans="1:2" x14ac:dyDescent="0.3">
      <c r="A376" t="s">
        <v>906</v>
      </c>
      <c r="B376" s="27">
        <v>0.24242859999999999</v>
      </c>
    </row>
    <row r="377" spans="1:2" x14ac:dyDescent="0.3">
      <c r="A377" t="s">
        <v>907</v>
      </c>
      <c r="B377" s="27">
        <v>4.8181799999999997E-2</v>
      </c>
    </row>
    <row r="378" spans="1:2" x14ac:dyDescent="0.3">
      <c r="A378" t="s">
        <v>908</v>
      </c>
      <c r="B378" s="27">
        <v>0.19127269999999999</v>
      </c>
    </row>
    <row r="379" spans="1:2" x14ac:dyDescent="0.3">
      <c r="A379" t="s">
        <v>909</v>
      </c>
      <c r="B379" s="27">
        <v>-1.6381E-2</v>
      </c>
    </row>
    <row r="380" spans="1:2" x14ac:dyDescent="0.3">
      <c r="A380" t="s">
        <v>910</v>
      </c>
      <c r="B380" s="27">
        <v>-1.36522E-2</v>
      </c>
    </row>
    <row r="381" spans="1:2" x14ac:dyDescent="0.3">
      <c r="A381" t="s">
        <v>911</v>
      </c>
      <c r="B381" s="27">
        <v>2.1095200000000001E-2</v>
      </c>
    </row>
    <row r="382" spans="1:2" x14ac:dyDescent="0.3">
      <c r="A382" t="s">
        <v>912</v>
      </c>
      <c r="B382" s="27">
        <v>-0.1727273</v>
      </c>
    </row>
    <row r="383" spans="1:2" x14ac:dyDescent="0.3">
      <c r="A383" t="s">
        <v>913</v>
      </c>
      <c r="B383" s="27">
        <v>-6.5570000000000003E-2</v>
      </c>
    </row>
    <row r="384" spans="1:2" x14ac:dyDescent="0.3">
      <c r="A384" t="s">
        <v>914</v>
      </c>
      <c r="B384" s="27">
        <v>-5.8349999999999999E-2</v>
      </c>
    </row>
    <row r="385" spans="1:2" x14ac:dyDescent="0.3">
      <c r="A385" t="s">
        <v>915</v>
      </c>
      <c r="B385" s="27">
        <v>0.14843000000000001</v>
      </c>
    </row>
    <row r="386" spans="1:2" x14ac:dyDescent="0.3">
      <c r="A386" t="s">
        <v>916</v>
      </c>
      <c r="B386" s="27">
        <v>0.1113</v>
      </c>
    </row>
    <row r="387" spans="1:2" x14ac:dyDescent="0.3">
      <c r="A387" t="s">
        <v>917</v>
      </c>
      <c r="B387" s="27">
        <v>-0.39058999999999999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2"/>
  <sheetViews>
    <sheetView workbookViewId="0">
      <pane ySplit="1" topLeftCell="A102" activePane="bottomLeft" state="frozen"/>
      <selection pane="bottomLeft" activeCell="E107" sqref="E107"/>
    </sheetView>
  </sheetViews>
  <sheetFormatPr defaultRowHeight="14.4" x14ac:dyDescent="0.3"/>
  <cols>
    <col min="1" max="1" width="12" customWidth="1"/>
    <col min="2" max="5" width="14" customWidth="1"/>
  </cols>
  <sheetData>
    <row r="1" spans="1:8" x14ac:dyDescent="0.3">
      <c r="A1" s="23" t="s">
        <v>0</v>
      </c>
      <c r="B1" s="23" t="s">
        <v>1</v>
      </c>
      <c r="C1" s="23" t="s">
        <v>2</v>
      </c>
      <c r="D1" s="23" t="s">
        <v>3</v>
      </c>
      <c r="E1" s="23"/>
      <c r="G1" s="23" t="s">
        <v>918</v>
      </c>
      <c r="H1" s="23" t="s">
        <v>919</v>
      </c>
    </row>
    <row r="2" spans="1:8" x14ac:dyDescent="0.3">
      <c r="A2" s="5" t="s">
        <v>4</v>
      </c>
      <c r="B2" s="2">
        <v>54.5</v>
      </c>
      <c r="C2" s="2">
        <v>91.133333333333326</v>
      </c>
      <c r="D2" s="2">
        <v>3.23</v>
      </c>
      <c r="E2" s="2"/>
      <c r="F2" s="5" t="s">
        <v>8</v>
      </c>
      <c r="G2">
        <f>(B6-B2)/B2</f>
        <v>2.4464831804281259E-2</v>
      </c>
      <c r="H2">
        <f t="shared" ref="H2" si="0">(C6-C2)/C2</f>
        <v>2.2677395757132523E-2</v>
      </c>
    </row>
    <row r="3" spans="1:8" x14ac:dyDescent="0.3">
      <c r="A3" s="5" t="s">
        <v>5</v>
      </c>
      <c r="B3" s="2">
        <v>55.1</v>
      </c>
      <c r="C3" s="2">
        <v>87.233333333333334</v>
      </c>
      <c r="D3" s="2">
        <v>2.8033333333333328</v>
      </c>
      <c r="E3" s="2"/>
      <c r="F3" s="5" t="s">
        <v>9</v>
      </c>
      <c r="G3">
        <f t="shared" ref="G3:G66" si="1">(B7-B3)/B3</f>
        <v>1.7543859649122841E-2</v>
      </c>
      <c r="H3">
        <f t="shared" ref="H3:H18" si="2">(C7-C3)/C3</f>
        <v>0.14635078333970195</v>
      </c>
    </row>
    <row r="4" spans="1:8" x14ac:dyDescent="0.3">
      <c r="A4" s="5" t="s">
        <v>6</v>
      </c>
      <c r="B4" s="2">
        <v>55.266666666666673</v>
      </c>
      <c r="C4" s="2">
        <v>89.36666666666666</v>
      </c>
      <c r="D4" s="2">
        <v>2.9666666666666668</v>
      </c>
      <c r="E4" s="2"/>
      <c r="F4" s="5" t="s">
        <v>10</v>
      </c>
      <c r="G4">
        <f t="shared" si="1"/>
        <v>1.5681544028950421E-2</v>
      </c>
      <c r="H4">
        <f t="shared" si="2"/>
        <v>0.18575158522939245</v>
      </c>
    </row>
    <row r="5" spans="1:8" x14ac:dyDescent="0.3">
      <c r="A5" s="5" t="s">
        <v>7</v>
      </c>
      <c r="B5" s="2">
        <v>55.533333333333331</v>
      </c>
      <c r="C5" s="2">
        <v>96.1</v>
      </c>
      <c r="D5" s="2">
        <v>2.6533333333333329</v>
      </c>
      <c r="E5" s="2"/>
      <c r="F5" s="5" t="s">
        <v>11</v>
      </c>
      <c r="G5">
        <f t="shared" si="1"/>
        <v>1.800720288115246E-2</v>
      </c>
      <c r="H5">
        <f t="shared" si="2"/>
        <v>0.11585154353104384</v>
      </c>
    </row>
    <row r="6" spans="1:8" x14ac:dyDescent="0.3">
      <c r="A6" s="5" t="s">
        <v>8</v>
      </c>
      <c r="B6" s="2">
        <v>55.833333333333329</v>
      </c>
      <c r="C6" s="2">
        <v>93.2</v>
      </c>
      <c r="D6" s="2">
        <v>2.64</v>
      </c>
      <c r="E6" s="2"/>
      <c r="F6" s="5" t="s">
        <v>12</v>
      </c>
      <c r="G6">
        <f t="shared" si="1"/>
        <v>2.0298507462686688E-2</v>
      </c>
      <c r="H6">
        <f t="shared" si="2"/>
        <v>0.20922746781115878</v>
      </c>
    </row>
    <row r="7" spans="1:8" x14ac:dyDescent="0.3">
      <c r="A7" s="5" t="s">
        <v>9</v>
      </c>
      <c r="B7" s="2">
        <v>56.06666666666667</v>
      </c>
      <c r="C7" s="2">
        <v>100</v>
      </c>
      <c r="D7" s="2">
        <v>2.96</v>
      </c>
      <c r="E7" s="2"/>
      <c r="F7" s="5" t="s">
        <v>13</v>
      </c>
      <c r="G7">
        <f t="shared" si="1"/>
        <v>2.0808561236622898E-2</v>
      </c>
      <c r="H7">
        <f t="shared" si="2"/>
        <v>0.10766666666666694</v>
      </c>
    </row>
    <row r="8" spans="1:8" x14ac:dyDescent="0.3">
      <c r="A8" s="5" t="s">
        <v>10</v>
      </c>
      <c r="B8" s="2">
        <v>56.133333333333333</v>
      </c>
      <c r="C8" s="2">
        <v>105.9666666666667</v>
      </c>
      <c r="D8" s="2">
        <v>2.7233333333333332</v>
      </c>
      <c r="E8" s="2"/>
      <c r="F8" s="5" t="s">
        <v>14</v>
      </c>
      <c r="G8">
        <f t="shared" si="1"/>
        <v>2.1971496437054649E-2</v>
      </c>
      <c r="H8">
        <f t="shared" si="2"/>
        <v>3.1456432840512747E-3</v>
      </c>
    </row>
    <row r="9" spans="1:8" x14ac:dyDescent="0.3">
      <c r="A9" s="5" t="s">
        <v>11</v>
      </c>
      <c r="B9" s="2">
        <v>56.533333333333331</v>
      </c>
      <c r="C9" s="2">
        <v>107.23333333333331</v>
      </c>
      <c r="D9" s="2">
        <v>2.9</v>
      </c>
      <c r="E9" s="2"/>
      <c r="F9" s="5" t="s">
        <v>15</v>
      </c>
      <c r="G9">
        <f t="shared" si="1"/>
        <v>1.7688679245283018E-2</v>
      </c>
      <c r="H9">
        <f t="shared" si="2"/>
        <v>-3.512589368977255E-2</v>
      </c>
    </row>
    <row r="10" spans="1:8" x14ac:dyDescent="0.3">
      <c r="A10" s="5" t="s">
        <v>12</v>
      </c>
      <c r="B10" s="2">
        <v>56.966666666666669</v>
      </c>
      <c r="C10" s="2">
        <v>112.7</v>
      </c>
      <c r="D10" s="2">
        <v>3.1033333333333331</v>
      </c>
      <c r="E10" s="2"/>
      <c r="F10" s="5" t="s">
        <v>16</v>
      </c>
      <c r="G10">
        <f t="shared" si="1"/>
        <v>1.2873025160912831E-2</v>
      </c>
      <c r="H10">
        <f t="shared" si="2"/>
        <v>-0.17894114167406097</v>
      </c>
    </row>
    <row r="11" spans="1:8" x14ac:dyDescent="0.3">
      <c r="A11" s="5" t="s">
        <v>13</v>
      </c>
      <c r="B11" s="2">
        <v>57.233333333333327</v>
      </c>
      <c r="C11" s="2">
        <v>110.76666666666669</v>
      </c>
      <c r="D11" s="2">
        <v>2.7233333333333332</v>
      </c>
      <c r="E11" s="2"/>
      <c r="F11" s="5" t="s">
        <v>17</v>
      </c>
      <c r="G11">
        <f t="shared" si="1"/>
        <v>1.4560279557367668E-2</v>
      </c>
      <c r="H11">
        <f t="shared" si="2"/>
        <v>-0.13782726452001226</v>
      </c>
    </row>
    <row r="12" spans="1:8" x14ac:dyDescent="0.3">
      <c r="A12" s="5" t="s">
        <v>14</v>
      </c>
      <c r="B12" s="2">
        <v>57.366666666666667</v>
      </c>
      <c r="C12" s="2">
        <v>106.3</v>
      </c>
      <c r="D12" s="2">
        <v>2.8033333333333328</v>
      </c>
      <c r="E12" s="2"/>
      <c r="F12" s="5" t="s">
        <v>18</v>
      </c>
      <c r="G12">
        <f t="shared" si="1"/>
        <v>1.7431725740848343E-2</v>
      </c>
      <c r="H12">
        <f t="shared" si="2"/>
        <v>-2.2891188460332029E-2</v>
      </c>
    </row>
    <row r="13" spans="1:8" x14ac:dyDescent="0.3">
      <c r="A13" s="5" t="s">
        <v>15</v>
      </c>
      <c r="B13" s="2">
        <v>57.533333333333331</v>
      </c>
      <c r="C13" s="2">
        <v>103.4666666666667</v>
      </c>
      <c r="D13" s="2">
        <v>2.79</v>
      </c>
      <c r="E13" s="2"/>
      <c r="F13" s="5" t="s">
        <v>19</v>
      </c>
      <c r="G13">
        <f t="shared" si="1"/>
        <v>2.0278099652375519E-2</v>
      </c>
      <c r="H13">
        <f t="shared" si="2"/>
        <v>8.6984536082474195E-2</v>
      </c>
    </row>
    <row r="14" spans="1:8" x14ac:dyDescent="0.3">
      <c r="A14" s="5" t="s">
        <v>16</v>
      </c>
      <c r="B14" s="2">
        <v>57.7</v>
      </c>
      <c r="C14" s="2">
        <v>92.533333333333331</v>
      </c>
      <c r="D14" s="2">
        <v>2.2907318999999999</v>
      </c>
      <c r="E14" s="2"/>
      <c r="F14" s="5" t="s">
        <v>20</v>
      </c>
      <c r="G14">
        <f t="shared" si="1"/>
        <v>2.4263431542460981E-2</v>
      </c>
      <c r="H14">
        <f t="shared" si="2"/>
        <v>0.29430835734870348</v>
      </c>
    </row>
    <row r="15" spans="1:8" x14ac:dyDescent="0.3">
      <c r="A15" s="5" t="s">
        <v>17</v>
      </c>
      <c r="B15" s="2">
        <v>58.06666666666667</v>
      </c>
      <c r="C15" s="2">
        <v>95.5</v>
      </c>
      <c r="D15" s="2">
        <v>1.6673629000000001</v>
      </c>
      <c r="E15" s="2"/>
      <c r="F15" s="5" t="s">
        <v>21</v>
      </c>
      <c r="G15">
        <f t="shared" si="1"/>
        <v>2.5258323765786361E-2</v>
      </c>
      <c r="H15">
        <f t="shared" si="2"/>
        <v>0.28446771378708585</v>
      </c>
    </row>
    <row r="16" spans="1:8" x14ac:dyDescent="0.3">
      <c r="A16" s="5" t="s">
        <v>18</v>
      </c>
      <c r="B16" s="2">
        <v>58.366666666666667</v>
      </c>
      <c r="C16" s="2">
        <v>103.8666666666667</v>
      </c>
      <c r="D16" s="2">
        <v>1.5993939333333329</v>
      </c>
      <c r="E16" s="2"/>
      <c r="F16" s="5" t="s">
        <v>22</v>
      </c>
      <c r="G16">
        <f t="shared" si="1"/>
        <v>2.5699600228440891E-2</v>
      </c>
      <c r="H16">
        <f t="shared" si="2"/>
        <v>0.11970474967907532</v>
      </c>
    </row>
    <row r="17" spans="1:8" x14ac:dyDescent="0.3">
      <c r="A17" s="5" t="s">
        <v>19</v>
      </c>
      <c r="B17" s="2">
        <v>58.7</v>
      </c>
      <c r="C17" s="2">
        <v>112.4666666666667</v>
      </c>
      <c r="D17" s="2">
        <v>1.9297979999999999</v>
      </c>
      <c r="E17" s="2"/>
      <c r="F17" s="5" t="s">
        <v>23</v>
      </c>
      <c r="G17">
        <f t="shared" si="1"/>
        <v>2.7825099375355024E-2</v>
      </c>
      <c r="H17">
        <f t="shared" si="2"/>
        <v>3.4084173088322164E-2</v>
      </c>
    </row>
    <row r="18" spans="1:8" x14ac:dyDescent="0.3">
      <c r="A18" s="5" t="s">
        <v>20</v>
      </c>
      <c r="B18" s="2">
        <v>59.1</v>
      </c>
      <c r="C18" s="2">
        <v>119.76666666666669</v>
      </c>
      <c r="D18" s="2">
        <v>1.608982766666667</v>
      </c>
      <c r="E18" s="2"/>
      <c r="F18" s="5" t="s">
        <v>24</v>
      </c>
      <c r="G18">
        <f t="shared" si="1"/>
        <v>2.0304568527918711E-2</v>
      </c>
      <c r="H18">
        <f t="shared" si="2"/>
        <v>-6.2343445588644825E-2</v>
      </c>
    </row>
    <row r="19" spans="1:8" x14ac:dyDescent="0.3">
      <c r="A19" s="5" t="s">
        <v>21</v>
      </c>
      <c r="B19" s="2">
        <v>59.533333333333331</v>
      </c>
      <c r="C19" s="2">
        <v>122.6666666666667</v>
      </c>
      <c r="D19" s="2">
        <v>2.3963502000000001</v>
      </c>
      <c r="E19" s="2"/>
      <c r="F19" s="5" t="s">
        <v>25</v>
      </c>
      <c r="G19">
        <f t="shared" si="1"/>
        <v>2.8555431131018966E-2</v>
      </c>
      <c r="H19">
        <f t="shared" ref="H19:H82" si="3">(C23-C19)/C19</f>
        <v>-0.1461956521739135</v>
      </c>
    </row>
    <row r="20" spans="1:8" x14ac:dyDescent="0.3">
      <c r="A20" s="5" t="s">
        <v>22</v>
      </c>
      <c r="B20" s="2">
        <v>59.866666666666667</v>
      </c>
      <c r="C20" s="2">
        <v>116.3</v>
      </c>
      <c r="D20" s="2">
        <v>2.5709337666666672</v>
      </c>
      <c r="E20" s="2"/>
      <c r="F20" s="5" t="s">
        <v>26</v>
      </c>
      <c r="G20">
        <f t="shared" si="1"/>
        <v>2.2271714922049036E-2</v>
      </c>
      <c r="H20">
        <f t="shared" si="3"/>
        <v>-0.10060189165950131</v>
      </c>
    </row>
    <row r="21" spans="1:8" x14ac:dyDescent="0.3">
      <c r="A21" s="5" t="s">
        <v>23</v>
      </c>
      <c r="B21" s="2">
        <v>60.333333333333343</v>
      </c>
      <c r="C21" s="2">
        <v>116.3</v>
      </c>
      <c r="D21" s="2">
        <v>2.5574617000000002</v>
      </c>
      <c r="E21" s="2"/>
      <c r="F21" s="5" t="s">
        <v>27</v>
      </c>
      <c r="G21">
        <f t="shared" si="1"/>
        <v>2.2651933701657346E-2</v>
      </c>
      <c r="H21">
        <f t="shared" si="3"/>
        <v>-0.19776440240756665</v>
      </c>
    </row>
    <row r="22" spans="1:8" x14ac:dyDescent="0.3">
      <c r="A22" s="5" t="s">
        <v>24</v>
      </c>
      <c r="B22" s="2">
        <v>60.3</v>
      </c>
      <c r="C22" s="2">
        <v>112.3</v>
      </c>
      <c r="D22" s="2">
        <v>2.6783879000000002</v>
      </c>
      <c r="E22" s="2"/>
      <c r="F22" s="5" t="s">
        <v>28</v>
      </c>
      <c r="G22">
        <f t="shared" si="1"/>
        <v>2.4875621890547265E-2</v>
      </c>
      <c r="H22">
        <f t="shared" si="3"/>
        <v>-6.3817156426239544E-2</v>
      </c>
    </row>
    <row r="23" spans="1:8" x14ac:dyDescent="0.3">
      <c r="A23" s="5" t="s">
        <v>25</v>
      </c>
      <c r="B23" s="2">
        <v>61.233333333333327</v>
      </c>
      <c r="C23" s="2">
        <v>104.73333333333331</v>
      </c>
      <c r="D23" s="2">
        <v>1.690751066666667</v>
      </c>
      <c r="E23" s="2"/>
      <c r="F23" s="5" t="s">
        <v>29</v>
      </c>
      <c r="G23">
        <f t="shared" si="1"/>
        <v>2.4496461622210128E-2</v>
      </c>
      <c r="H23">
        <f t="shared" si="3"/>
        <v>6.6836409929979836E-3</v>
      </c>
    </row>
    <row r="24" spans="1:8" x14ac:dyDescent="0.3">
      <c r="A24" s="5" t="s">
        <v>26</v>
      </c>
      <c r="B24" s="2">
        <v>61.2</v>
      </c>
      <c r="C24" s="2">
        <v>104.6</v>
      </c>
      <c r="D24" s="2">
        <v>1.9345026999999999</v>
      </c>
      <c r="E24" s="2"/>
      <c r="F24" s="5" t="s">
        <v>30</v>
      </c>
      <c r="G24">
        <f t="shared" si="1"/>
        <v>2.614379084967311E-2</v>
      </c>
      <c r="H24">
        <f t="shared" si="3"/>
        <v>-3.3142128744423488E-2</v>
      </c>
    </row>
    <row r="25" spans="1:8" x14ac:dyDescent="0.3">
      <c r="A25" s="5" t="s">
        <v>27</v>
      </c>
      <c r="B25" s="2">
        <v>61.7</v>
      </c>
      <c r="C25" s="2">
        <v>93.3</v>
      </c>
      <c r="D25" s="2">
        <v>1.3434801000000001</v>
      </c>
      <c r="E25" s="2"/>
      <c r="F25" s="5" t="s">
        <v>31</v>
      </c>
      <c r="G25">
        <f t="shared" si="1"/>
        <v>2.8633171258779021E-2</v>
      </c>
      <c r="H25">
        <f t="shared" si="3"/>
        <v>4.5373347624151496E-2</v>
      </c>
    </row>
    <row r="26" spans="1:8" x14ac:dyDescent="0.3">
      <c r="A26" s="5" t="s">
        <v>28</v>
      </c>
      <c r="B26" s="2">
        <v>61.8</v>
      </c>
      <c r="C26" s="2">
        <v>105.1333333333333</v>
      </c>
      <c r="D26" s="2">
        <v>0.82889089999999999</v>
      </c>
      <c r="E26" s="2"/>
      <c r="F26" s="5" t="s">
        <v>32</v>
      </c>
      <c r="G26">
        <f t="shared" si="1"/>
        <v>2.8586839266451017E-2</v>
      </c>
      <c r="H26">
        <f t="shared" si="3"/>
        <v>-4.5022194039314775E-2</v>
      </c>
    </row>
    <row r="27" spans="1:8" x14ac:dyDescent="0.3">
      <c r="A27" s="5" t="s">
        <v>29</v>
      </c>
      <c r="B27" s="2">
        <v>62.733333333333327</v>
      </c>
      <c r="C27" s="2">
        <v>105.43333333333329</v>
      </c>
      <c r="D27" s="2">
        <v>1.3126804000000001</v>
      </c>
      <c r="E27" s="2"/>
      <c r="F27" s="5" t="s">
        <v>33</v>
      </c>
      <c r="G27">
        <f t="shared" si="1"/>
        <v>2.9224229543039361E-2</v>
      </c>
      <c r="H27">
        <f t="shared" si="3"/>
        <v>-8.2200442617767613E-2</v>
      </c>
    </row>
    <row r="28" spans="1:8" x14ac:dyDescent="0.3">
      <c r="A28" s="5" t="s">
        <v>30</v>
      </c>
      <c r="B28" s="2">
        <v>62.8</v>
      </c>
      <c r="C28" s="2">
        <v>101.1333333333333</v>
      </c>
      <c r="D28" s="2">
        <v>1.2906839999999999</v>
      </c>
      <c r="E28" s="2"/>
      <c r="F28" s="5" t="s">
        <v>34</v>
      </c>
      <c r="G28">
        <f t="shared" si="1"/>
        <v>2.8131634819532896E-2</v>
      </c>
      <c r="H28">
        <f t="shared" si="3"/>
        <v>-5.2406064601186263E-2</v>
      </c>
    </row>
    <row r="29" spans="1:8" x14ac:dyDescent="0.3">
      <c r="A29" s="5" t="s">
        <v>31</v>
      </c>
      <c r="B29" s="2">
        <v>63.466666666666669</v>
      </c>
      <c r="C29" s="2">
        <v>97.533333333333331</v>
      </c>
      <c r="D29" s="2">
        <v>0.80881793333333329</v>
      </c>
      <c r="E29" s="2"/>
      <c r="F29" s="5" t="s">
        <v>35</v>
      </c>
      <c r="G29">
        <f t="shared" si="1"/>
        <v>2.6785714285714329E-2</v>
      </c>
      <c r="H29">
        <f t="shared" si="3"/>
        <v>9.5693779904306615E-3</v>
      </c>
    </row>
    <row r="30" spans="1:8" x14ac:dyDescent="0.3">
      <c r="A30" s="5" t="s">
        <v>32</v>
      </c>
      <c r="B30" s="2">
        <v>63.56666666666667</v>
      </c>
      <c r="C30" s="2">
        <v>100.4</v>
      </c>
      <c r="D30" s="2">
        <v>0.38307353333333333</v>
      </c>
      <c r="E30" s="2"/>
      <c r="F30" s="5" t="s">
        <v>36</v>
      </c>
      <c r="G30">
        <f t="shared" si="1"/>
        <v>2.254850550603036E-2</v>
      </c>
      <c r="H30">
        <f t="shared" si="3"/>
        <v>-3.4196547144754355E-2</v>
      </c>
    </row>
    <row r="31" spans="1:8" x14ac:dyDescent="0.3">
      <c r="A31" s="5" t="s">
        <v>33</v>
      </c>
      <c r="B31" s="2">
        <v>64.566666666666663</v>
      </c>
      <c r="C31" s="2">
        <v>96.766666666666666</v>
      </c>
      <c r="D31" s="2">
        <v>0.39524363333333329</v>
      </c>
      <c r="E31" s="2"/>
      <c r="F31" s="5" t="s">
        <v>37</v>
      </c>
      <c r="G31">
        <f t="shared" si="1"/>
        <v>2.323180175529169E-2</v>
      </c>
      <c r="H31">
        <f t="shared" si="3"/>
        <v>4.8225973131243147E-2</v>
      </c>
    </row>
    <row r="32" spans="1:8" x14ac:dyDescent="0.3">
      <c r="A32" s="5" t="s">
        <v>34</v>
      </c>
      <c r="B32" s="2">
        <v>64.566666666666663</v>
      </c>
      <c r="C32" s="2">
        <v>95.833333333333329</v>
      </c>
      <c r="D32" s="2">
        <v>0.1392634333333333</v>
      </c>
      <c r="E32" s="2"/>
      <c r="F32" s="5" t="s">
        <v>38</v>
      </c>
      <c r="G32">
        <f t="shared" si="1"/>
        <v>2.2715539494063016E-2</v>
      </c>
      <c r="H32">
        <f t="shared" si="3"/>
        <v>5.4260869565217126E-2</v>
      </c>
    </row>
    <row r="33" spans="1:8" x14ac:dyDescent="0.3">
      <c r="A33" s="5" t="s">
        <v>35</v>
      </c>
      <c r="B33" s="2">
        <v>65.166666666666671</v>
      </c>
      <c r="C33" s="2">
        <v>98.466666666666669</v>
      </c>
      <c r="D33" s="2">
        <v>8.2982833333333339E-2</v>
      </c>
      <c r="E33" s="2"/>
      <c r="F33" s="5" t="s">
        <v>39</v>
      </c>
      <c r="G33">
        <f t="shared" si="1"/>
        <v>2.1994884910485773E-2</v>
      </c>
      <c r="H33">
        <f t="shared" si="3"/>
        <v>1.1509817197020912E-2</v>
      </c>
    </row>
    <row r="34" spans="1:8" x14ac:dyDescent="0.3">
      <c r="A34" s="5" t="s">
        <v>36</v>
      </c>
      <c r="B34" s="2">
        <v>65</v>
      </c>
      <c r="C34" s="2">
        <v>96.966666666666669</v>
      </c>
      <c r="D34" s="2">
        <v>0.3629507666666667</v>
      </c>
      <c r="E34" s="2"/>
      <c r="F34" s="5" t="s">
        <v>40</v>
      </c>
      <c r="G34">
        <f t="shared" si="1"/>
        <v>2.051282051282044E-2</v>
      </c>
      <c r="H34">
        <f t="shared" si="3"/>
        <v>1.0312822275695529E-3</v>
      </c>
    </row>
    <row r="35" spans="1:8" x14ac:dyDescent="0.3">
      <c r="A35" s="5" t="s">
        <v>37</v>
      </c>
      <c r="B35" s="2">
        <v>66.066666666666663</v>
      </c>
      <c r="C35" s="2">
        <v>101.43333333333329</v>
      </c>
      <c r="D35" s="2">
        <v>-0.25090370000000001</v>
      </c>
      <c r="E35" s="2"/>
      <c r="F35" s="5" t="s">
        <v>41</v>
      </c>
      <c r="G35">
        <f t="shared" si="1"/>
        <v>2.2199798183652905E-2</v>
      </c>
      <c r="H35">
        <f t="shared" si="3"/>
        <v>-5.3894183371672309E-2</v>
      </c>
    </row>
    <row r="36" spans="1:8" x14ac:dyDescent="0.3">
      <c r="A36" s="5" t="s">
        <v>38</v>
      </c>
      <c r="B36" s="2">
        <v>66.033333333333331</v>
      </c>
      <c r="C36" s="2">
        <v>101.0333333333333</v>
      </c>
      <c r="D36" s="2">
        <v>-0.1503636333333333</v>
      </c>
      <c r="E36" s="2"/>
      <c r="F36" s="5" t="s">
        <v>42</v>
      </c>
      <c r="G36">
        <f t="shared" si="1"/>
        <v>2.1706208985360988E-2</v>
      </c>
      <c r="H36">
        <f t="shared" si="3"/>
        <v>-1.5836357637742986E-2</v>
      </c>
    </row>
    <row r="37" spans="1:8" x14ac:dyDescent="0.3">
      <c r="A37" s="5" t="s">
        <v>39</v>
      </c>
      <c r="B37" s="2">
        <v>66.599999999999994</v>
      </c>
      <c r="C37" s="2">
        <v>99.6</v>
      </c>
      <c r="D37" s="2">
        <v>-0.13639153333333329</v>
      </c>
      <c r="E37" s="2"/>
      <c r="F37" s="5" t="s">
        <v>43</v>
      </c>
      <c r="G37">
        <f t="shared" si="1"/>
        <v>2.4024024024024156E-2</v>
      </c>
      <c r="H37">
        <f t="shared" si="3"/>
        <v>5.7898259705489043E-2</v>
      </c>
    </row>
    <row r="38" spans="1:8" x14ac:dyDescent="0.3">
      <c r="A38" s="5" t="s">
        <v>40</v>
      </c>
      <c r="B38" s="2">
        <v>66.333333333333329</v>
      </c>
      <c r="C38" s="2">
        <v>97.066666666666663</v>
      </c>
      <c r="D38" s="2">
        <v>7.3656366666666667E-2</v>
      </c>
      <c r="E38" s="2"/>
      <c r="F38" s="5" t="s">
        <v>44</v>
      </c>
      <c r="G38">
        <f t="shared" si="1"/>
        <v>2.2110552763819125E-2</v>
      </c>
      <c r="H38">
        <f t="shared" si="3"/>
        <v>0.11984890109890117</v>
      </c>
    </row>
    <row r="39" spans="1:8" x14ac:dyDescent="0.3">
      <c r="A39" s="5" t="s">
        <v>41</v>
      </c>
      <c r="B39" s="2">
        <v>67.533333333333331</v>
      </c>
      <c r="C39" s="2">
        <v>95.966666666666669</v>
      </c>
      <c r="D39" s="2">
        <v>9.1306666666666675E-2</v>
      </c>
      <c r="E39" s="2"/>
      <c r="F39" s="5" t="s">
        <v>45</v>
      </c>
      <c r="G39">
        <f t="shared" si="1"/>
        <v>2.2704837117472825E-2</v>
      </c>
      <c r="H39">
        <f t="shared" si="3"/>
        <v>0.16533518582841228</v>
      </c>
    </row>
    <row r="40" spans="1:8" x14ac:dyDescent="0.3">
      <c r="A40" s="5" t="s">
        <v>42</v>
      </c>
      <c r="B40" s="2">
        <v>67.466666666666669</v>
      </c>
      <c r="C40" s="2">
        <v>99.433333333333337</v>
      </c>
      <c r="D40" s="2">
        <v>-0.16965223333333329</v>
      </c>
      <c r="E40" s="2"/>
      <c r="F40" s="5" t="s">
        <v>46</v>
      </c>
      <c r="G40">
        <f t="shared" si="1"/>
        <v>2.3715415019762761E-2</v>
      </c>
      <c r="H40">
        <f t="shared" si="3"/>
        <v>0.12336573918873615</v>
      </c>
    </row>
    <row r="41" spans="1:8" x14ac:dyDescent="0.3">
      <c r="A41" s="5" t="s">
        <v>43</v>
      </c>
      <c r="B41" s="2">
        <v>68.2</v>
      </c>
      <c r="C41" s="2">
        <v>105.3666666666667</v>
      </c>
      <c r="D41" s="2">
        <v>-2.32201E-2</v>
      </c>
      <c r="E41" s="2"/>
      <c r="F41" s="5" t="s">
        <v>47</v>
      </c>
      <c r="G41">
        <f t="shared" si="1"/>
        <v>1.9550342130987223E-2</v>
      </c>
      <c r="H41">
        <f t="shared" si="3"/>
        <v>4.8402404302435864E-2</v>
      </c>
    </row>
    <row r="42" spans="1:8" x14ac:dyDescent="0.3">
      <c r="A42" s="5" t="s">
        <v>44</v>
      </c>
      <c r="B42" s="2">
        <v>67.8</v>
      </c>
      <c r="C42" s="2">
        <v>108.7</v>
      </c>
      <c r="D42" s="2">
        <v>0.2782135</v>
      </c>
      <c r="E42" s="2"/>
      <c r="F42" s="5" t="s">
        <v>48</v>
      </c>
      <c r="G42">
        <f t="shared" si="1"/>
        <v>2.0157325467060092E-2</v>
      </c>
      <c r="H42">
        <f t="shared" si="3"/>
        <v>1.5639374425023025E-2</v>
      </c>
    </row>
    <row r="43" spans="1:8" x14ac:dyDescent="0.3">
      <c r="A43" s="5" t="s">
        <v>45</v>
      </c>
      <c r="B43" s="2">
        <v>69.066666666666663</v>
      </c>
      <c r="C43" s="2">
        <v>111.8333333333333</v>
      </c>
      <c r="D43" s="2">
        <v>0.42281986666666671</v>
      </c>
      <c r="E43" s="2"/>
      <c r="F43" s="5" t="s">
        <v>49</v>
      </c>
      <c r="G43">
        <f t="shared" si="1"/>
        <v>1.8822393822393781E-2</v>
      </c>
      <c r="H43">
        <f t="shared" si="3"/>
        <v>-1.609538002980624E-2</v>
      </c>
    </row>
    <row r="44" spans="1:8" x14ac:dyDescent="0.3">
      <c r="A44" s="5" t="s">
        <v>46</v>
      </c>
      <c r="B44" s="2">
        <v>69.066666666666663</v>
      </c>
      <c r="C44" s="2">
        <v>111.7</v>
      </c>
      <c r="D44" s="2">
        <v>1.054683266666667</v>
      </c>
      <c r="E44" s="2"/>
      <c r="F44" s="5" t="s">
        <v>50</v>
      </c>
      <c r="G44">
        <f t="shared" si="1"/>
        <v>1.6409266409266505E-2</v>
      </c>
      <c r="H44">
        <f t="shared" si="3"/>
        <v>-5.3118472097881009E-2</v>
      </c>
    </row>
    <row r="45" spans="1:8" x14ac:dyDescent="0.3">
      <c r="A45" s="5" t="s">
        <v>47</v>
      </c>
      <c r="B45" s="2">
        <v>69.533333333333331</v>
      </c>
      <c r="C45" s="2">
        <v>110.4666666666667</v>
      </c>
      <c r="D45" s="2">
        <v>1.8277974333333331</v>
      </c>
      <c r="E45" s="2"/>
      <c r="F45" s="5" t="s">
        <v>51</v>
      </c>
      <c r="G45">
        <f t="shared" si="1"/>
        <v>2.588686481303927E-2</v>
      </c>
      <c r="H45">
        <f t="shared" si="3"/>
        <v>-6.3971031985516194E-2</v>
      </c>
    </row>
    <row r="46" spans="1:8" x14ac:dyDescent="0.3">
      <c r="A46" s="5" t="s">
        <v>48</v>
      </c>
      <c r="B46" s="2">
        <v>69.166666666666671</v>
      </c>
      <c r="C46" s="2">
        <v>110.4</v>
      </c>
      <c r="D46" s="2">
        <v>1.9869908999999999</v>
      </c>
      <c r="E46" s="2"/>
      <c r="F46" s="5" t="s">
        <v>52</v>
      </c>
      <c r="G46">
        <f t="shared" si="1"/>
        <v>3.2771084337349383E-2</v>
      </c>
      <c r="H46">
        <f t="shared" si="3"/>
        <v>-9.3297101449275457E-2</v>
      </c>
    </row>
    <row r="47" spans="1:8" x14ac:dyDescent="0.3">
      <c r="A47" s="5" t="s">
        <v>49</v>
      </c>
      <c r="B47" s="2">
        <v>70.36666666666666</v>
      </c>
      <c r="C47" s="2">
        <v>110.0333333333333</v>
      </c>
      <c r="D47" s="2">
        <v>2.164796233333333</v>
      </c>
      <c r="E47" s="2"/>
      <c r="F47" s="5" t="s">
        <v>53</v>
      </c>
      <c r="G47">
        <f t="shared" si="1"/>
        <v>3.7423022264329801E-2</v>
      </c>
      <c r="H47">
        <f t="shared" si="3"/>
        <v>-0.10511966070887584</v>
      </c>
    </row>
    <row r="48" spans="1:8" x14ac:dyDescent="0.3">
      <c r="A48" s="5" t="s">
        <v>50</v>
      </c>
      <c r="B48" s="2">
        <v>70.2</v>
      </c>
      <c r="C48" s="2">
        <v>105.76666666666669</v>
      </c>
      <c r="D48" s="2">
        <v>2.6338301666666668</v>
      </c>
      <c r="E48" s="2"/>
      <c r="F48" s="5" t="s">
        <v>54</v>
      </c>
      <c r="G48">
        <f t="shared" si="1"/>
        <v>4.1310541310541189E-2</v>
      </c>
      <c r="H48">
        <f t="shared" si="3"/>
        <v>-0.12448786637251841</v>
      </c>
    </row>
    <row r="49" spans="1:8" x14ac:dyDescent="0.3">
      <c r="A49" s="5" t="s">
        <v>51</v>
      </c>
      <c r="B49" s="2">
        <v>71.333333333333329</v>
      </c>
      <c r="C49" s="2">
        <v>103.4</v>
      </c>
      <c r="D49" s="2">
        <v>1.8247684</v>
      </c>
      <c r="E49" s="2"/>
      <c r="F49" s="5" t="s">
        <v>55</v>
      </c>
      <c r="G49">
        <f t="shared" si="1"/>
        <v>2.8971962616822378E-2</v>
      </c>
      <c r="H49">
        <f t="shared" si="3"/>
        <v>-0.20083816892327541</v>
      </c>
    </row>
    <row r="50" spans="1:8" x14ac:dyDescent="0.3">
      <c r="A50" s="5" t="s">
        <v>52</v>
      </c>
      <c r="B50" s="2">
        <v>71.433333333333337</v>
      </c>
      <c r="C50" s="2">
        <v>100.1</v>
      </c>
      <c r="D50" s="2">
        <v>1.1133363666666669</v>
      </c>
      <c r="E50" s="2"/>
      <c r="F50" s="5" t="s">
        <v>56</v>
      </c>
      <c r="G50">
        <f t="shared" si="1"/>
        <v>1.3065795613625612E-2</v>
      </c>
      <c r="H50">
        <f t="shared" si="3"/>
        <v>-0.25407925407925397</v>
      </c>
    </row>
    <row r="51" spans="1:8" x14ac:dyDescent="0.3">
      <c r="A51" s="5" t="s">
        <v>53</v>
      </c>
      <c r="B51" s="2">
        <v>73</v>
      </c>
      <c r="C51" s="2">
        <v>98.466666666666669</v>
      </c>
      <c r="D51" s="2">
        <v>1.227134933333333</v>
      </c>
      <c r="E51" s="2"/>
      <c r="F51" s="5" t="s">
        <v>57</v>
      </c>
      <c r="G51">
        <f t="shared" si="1"/>
        <v>9.1324200913242663E-3</v>
      </c>
      <c r="H51">
        <f t="shared" si="3"/>
        <v>-0.1689234935680434</v>
      </c>
    </row>
    <row r="52" spans="1:8" x14ac:dyDescent="0.3">
      <c r="A52" s="5" t="s">
        <v>54</v>
      </c>
      <c r="B52" s="2">
        <v>73.099999999999994</v>
      </c>
      <c r="C52" s="2">
        <v>92.6</v>
      </c>
      <c r="D52" s="2">
        <v>1.1484574333333331</v>
      </c>
      <c r="E52" s="2"/>
      <c r="F52" s="5" t="s">
        <v>58</v>
      </c>
      <c r="G52">
        <f t="shared" si="1"/>
        <v>9.119927040585102E-4</v>
      </c>
      <c r="H52">
        <f t="shared" si="3"/>
        <v>-1.9798416126709812E-2</v>
      </c>
    </row>
    <row r="53" spans="1:8" x14ac:dyDescent="0.3">
      <c r="A53" s="5" t="s">
        <v>55</v>
      </c>
      <c r="B53" s="2">
        <v>73.399999999999991</v>
      </c>
      <c r="C53" s="2">
        <v>82.633333333333326</v>
      </c>
      <c r="D53" s="2">
        <v>1.914668666666667</v>
      </c>
      <c r="E53" s="2"/>
      <c r="F53" s="5" t="s">
        <v>59</v>
      </c>
      <c r="G53">
        <f t="shared" si="1"/>
        <v>7.7202543142599065E-3</v>
      </c>
      <c r="H53">
        <f t="shared" si="3"/>
        <v>0.17022993142396142</v>
      </c>
    </row>
    <row r="54" spans="1:8" x14ac:dyDescent="0.3">
      <c r="A54" s="5" t="s">
        <v>56</v>
      </c>
      <c r="B54" s="2">
        <v>72.36666666666666</v>
      </c>
      <c r="C54" s="2">
        <v>74.666666666666671</v>
      </c>
      <c r="D54" s="2">
        <v>1.0450094333333331</v>
      </c>
      <c r="E54" s="2"/>
      <c r="F54" s="5" t="s">
        <v>60</v>
      </c>
      <c r="G54">
        <f t="shared" si="1"/>
        <v>1.2897282358360256E-2</v>
      </c>
      <c r="H54">
        <f t="shared" si="3"/>
        <v>0.35089285714285756</v>
      </c>
    </row>
    <row r="55" spans="1:8" x14ac:dyDescent="0.3">
      <c r="A55" s="5" t="s">
        <v>57</v>
      </c>
      <c r="B55" s="2">
        <v>73.666666666666671</v>
      </c>
      <c r="C55" s="2">
        <v>81.833333333333329</v>
      </c>
      <c r="D55" s="2">
        <v>1.1439697</v>
      </c>
      <c r="E55" s="2"/>
      <c r="F55" s="5" t="s">
        <v>61</v>
      </c>
      <c r="G55">
        <f t="shared" si="1"/>
        <v>1.4932126696832502E-2</v>
      </c>
      <c r="H55">
        <f t="shared" si="3"/>
        <v>0.24765784114052952</v>
      </c>
    </row>
    <row r="56" spans="1:8" x14ac:dyDescent="0.3">
      <c r="A56" s="5" t="s">
        <v>58</v>
      </c>
      <c r="B56" s="2">
        <v>73.166666666666671</v>
      </c>
      <c r="C56" s="2">
        <v>90.766666666666666</v>
      </c>
      <c r="D56" s="2">
        <v>1.2358412000000001</v>
      </c>
      <c r="E56" s="2"/>
      <c r="F56" s="5" t="s">
        <v>62</v>
      </c>
      <c r="G56">
        <f t="shared" si="1"/>
        <v>1.7312072892938481E-2</v>
      </c>
      <c r="H56">
        <f t="shared" si="3"/>
        <v>0.11788468600807966</v>
      </c>
    </row>
    <row r="57" spans="1:8" x14ac:dyDescent="0.3">
      <c r="A57" s="5" t="s">
        <v>59</v>
      </c>
      <c r="B57" s="2">
        <v>73.966666666666669</v>
      </c>
      <c r="C57" s="2">
        <v>96.7</v>
      </c>
      <c r="D57" s="2">
        <v>0.28857866666666671</v>
      </c>
      <c r="E57" s="2"/>
      <c r="F57" s="5" t="s">
        <v>63</v>
      </c>
      <c r="G57">
        <f t="shared" si="1"/>
        <v>1.9378098242451413E-2</v>
      </c>
      <c r="H57">
        <f t="shared" si="3"/>
        <v>5.4463977938642133E-2</v>
      </c>
    </row>
    <row r="58" spans="1:8" x14ac:dyDescent="0.3">
      <c r="A58" s="5" t="s">
        <v>60</v>
      </c>
      <c r="B58" s="2">
        <v>73.3</v>
      </c>
      <c r="C58" s="2">
        <v>100.8666666666667</v>
      </c>
      <c r="D58" s="2">
        <v>-0.43786449999999999</v>
      </c>
      <c r="E58" s="2"/>
      <c r="F58" s="5" t="s">
        <v>64</v>
      </c>
      <c r="G58">
        <f t="shared" si="1"/>
        <v>2.3192360163710818E-2</v>
      </c>
      <c r="H58">
        <f t="shared" si="3"/>
        <v>4.6265697290145142E-3</v>
      </c>
    </row>
    <row r="59" spans="1:8" x14ac:dyDescent="0.3">
      <c r="A59" s="5" t="s">
        <v>61</v>
      </c>
      <c r="B59" s="2">
        <v>74.766666666666666</v>
      </c>
      <c r="C59" s="2">
        <v>102.1</v>
      </c>
      <c r="D59" s="2">
        <v>-0.91372843333333331</v>
      </c>
      <c r="E59" s="2"/>
      <c r="F59" s="5" t="s">
        <v>65</v>
      </c>
      <c r="G59">
        <f t="shared" si="1"/>
        <v>2.9870708872046379E-2</v>
      </c>
      <c r="H59">
        <f t="shared" si="3"/>
        <v>-1.7956252040482863E-2</v>
      </c>
    </row>
    <row r="60" spans="1:8" x14ac:dyDescent="0.3">
      <c r="A60" s="5" t="s">
        <v>62</v>
      </c>
      <c r="B60" s="2">
        <v>74.433333333333337</v>
      </c>
      <c r="C60" s="2">
        <v>101.4666666666667</v>
      </c>
      <c r="D60" s="2">
        <v>-0.85839393333333336</v>
      </c>
      <c r="E60" s="2"/>
      <c r="F60" s="5" t="s">
        <v>66</v>
      </c>
      <c r="G60">
        <f t="shared" si="1"/>
        <v>2.6421854008060928E-2</v>
      </c>
      <c r="H60">
        <f t="shared" si="3"/>
        <v>-8.4428383705650673E-2</v>
      </c>
    </row>
    <row r="61" spans="1:8" x14ac:dyDescent="0.3">
      <c r="A61" s="5" t="s">
        <v>63</v>
      </c>
      <c r="B61" s="2">
        <v>75.399999999999991</v>
      </c>
      <c r="C61" s="2">
        <v>101.9666666666667</v>
      </c>
      <c r="D61" s="2">
        <v>-0.97953069999999998</v>
      </c>
      <c r="E61" s="2"/>
      <c r="F61" s="5" t="s">
        <v>67</v>
      </c>
      <c r="G61">
        <f t="shared" si="1"/>
        <v>3.7135278514589011E-2</v>
      </c>
      <c r="H61">
        <f t="shared" si="3"/>
        <v>-0.13795357960117705</v>
      </c>
    </row>
    <row r="62" spans="1:8" x14ac:dyDescent="0.3">
      <c r="A62" s="5" t="s">
        <v>64</v>
      </c>
      <c r="B62" s="2">
        <v>75</v>
      </c>
      <c r="C62" s="2">
        <v>101.3333333333333</v>
      </c>
      <c r="D62" s="2">
        <v>-1.373496733333333</v>
      </c>
      <c r="E62" s="2"/>
      <c r="F62" s="5" t="s">
        <v>68</v>
      </c>
      <c r="G62">
        <f t="shared" si="1"/>
        <v>3.6000000000000039E-2</v>
      </c>
      <c r="H62">
        <f t="shared" si="3"/>
        <v>-0.1710526315789471</v>
      </c>
    </row>
    <row r="63" spans="1:8" x14ac:dyDescent="0.3">
      <c r="A63" s="5" t="s">
        <v>65</v>
      </c>
      <c r="B63" s="2">
        <v>77</v>
      </c>
      <c r="C63" s="2">
        <v>100.26666666666669</v>
      </c>
      <c r="D63" s="2">
        <v>-1.3217025666666671</v>
      </c>
      <c r="E63" s="2"/>
      <c r="F63" s="5" t="s">
        <v>69</v>
      </c>
      <c r="G63">
        <f t="shared" si="1"/>
        <v>3.5930735930735917E-2</v>
      </c>
      <c r="H63">
        <f t="shared" si="3"/>
        <v>-0.21210106382978744</v>
      </c>
    </row>
    <row r="64" spans="1:8" x14ac:dyDescent="0.3">
      <c r="A64" s="5" t="s">
        <v>66</v>
      </c>
      <c r="B64" s="2">
        <v>76.400000000000006</v>
      </c>
      <c r="C64" s="2">
        <v>92.9</v>
      </c>
      <c r="D64" s="2">
        <v>-1.1379465</v>
      </c>
      <c r="E64" s="2"/>
      <c r="F64" s="5" t="s">
        <v>70</v>
      </c>
      <c r="G64">
        <f t="shared" si="1"/>
        <v>3.4467713787085415E-2</v>
      </c>
      <c r="H64">
        <f t="shared" si="3"/>
        <v>-0.15572299964119127</v>
      </c>
    </row>
    <row r="65" spans="1:8" x14ac:dyDescent="0.3">
      <c r="A65" s="5" t="s">
        <v>67</v>
      </c>
      <c r="B65" s="2">
        <v>78.2</v>
      </c>
      <c r="C65" s="2">
        <v>87.9</v>
      </c>
      <c r="D65" s="2">
        <v>-1.437788633333333</v>
      </c>
      <c r="E65" s="2"/>
      <c r="F65" s="5" t="s">
        <v>71</v>
      </c>
      <c r="G65">
        <f t="shared" si="1"/>
        <v>2.6427962489343513E-2</v>
      </c>
      <c r="H65">
        <f t="shared" si="3"/>
        <v>-9.4425483503981764E-2</v>
      </c>
    </row>
    <row r="66" spans="1:8" x14ac:dyDescent="0.3">
      <c r="A66" s="5" t="s">
        <v>68</v>
      </c>
      <c r="B66" s="2">
        <v>77.7</v>
      </c>
      <c r="C66" s="2">
        <v>84</v>
      </c>
      <c r="D66" s="2">
        <v>-1.6570108333333331</v>
      </c>
      <c r="E66" s="2"/>
      <c r="F66" s="5" t="s">
        <v>72</v>
      </c>
      <c r="G66">
        <f t="shared" si="1"/>
        <v>2.0163020163020115E-2</v>
      </c>
      <c r="H66">
        <f t="shared" si="3"/>
        <v>-5.0396825396825405E-2</v>
      </c>
    </row>
    <row r="67" spans="1:8" x14ac:dyDescent="0.3">
      <c r="A67" s="5" t="s">
        <v>69</v>
      </c>
      <c r="B67" s="2">
        <v>79.766666666666666</v>
      </c>
      <c r="C67" s="2">
        <v>79</v>
      </c>
      <c r="D67" s="2">
        <v>-1.770639333333333</v>
      </c>
      <c r="E67" s="2"/>
      <c r="F67" s="5" t="s">
        <v>73</v>
      </c>
      <c r="G67">
        <f t="shared" ref="G67:G118" si="4">(B71-B67)/B67</f>
        <v>1.2536564981195153E-2</v>
      </c>
      <c r="H67">
        <f t="shared" si="3"/>
        <v>2.1097046413501991E-2</v>
      </c>
    </row>
    <row r="68" spans="1:8" x14ac:dyDescent="0.3">
      <c r="A68" s="5" t="s">
        <v>70</v>
      </c>
      <c r="B68" s="2">
        <v>79.033333333333331</v>
      </c>
      <c r="C68" s="2">
        <v>78.433333333333337</v>
      </c>
      <c r="D68" s="2">
        <v>-2.1747543999999999</v>
      </c>
      <c r="E68" s="2"/>
      <c r="F68" s="5" t="s">
        <v>74</v>
      </c>
      <c r="G68">
        <f t="shared" si="4"/>
        <v>1.0965837199493981E-2</v>
      </c>
      <c r="H68">
        <f t="shared" si="3"/>
        <v>0.13344666383340417</v>
      </c>
    </row>
    <row r="69" spans="1:8" x14ac:dyDescent="0.3">
      <c r="A69" s="5" t="s">
        <v>71</v>
      </c>
      <c r="B69" s="2">
        <v>80.266666666666666</v>
      </c>
      <c r="C69" s="2">
        <v>79.600000000000009</v>
      </c>
      <c r="D69" s="2">
        <v>-2.1048711</v>
      </c>
      <c r="E69" s="2"/>
      <c r="F69" s="5" t="s">
        <v>75</v>
      </c>
      <c r="G69">
        <f t="shared" si="4"/>
        <v>6.6445182724252259E-3</v>
      </c>
      <c r="H69">
        <f t="shared" si="3"/>
        <v>0.16164154103852585</v>
      </c>
    </row>
    <row r="70" spans="1:8" x14ac:dyDescent="0.3">
      <c r="A70" s="5" t="s">
        <v>72</v>
      </c>
      <c r="B70" s="2">
        <v>79.266666666666666</v>
      </c>
      <c r="C70" s="2">
        <v>79.766666666666666</v>
      </c>
      <c r="D70" s="2">
        <v>-1.6552302999999999</v>
      </c>
      <c r="E70" s="2"/>
      <c r="F70" s="5" t="s">
        <v>76</v>
      </c>
      <c r="G70">
        <f t="shared" si="4"/>
        <v>4.2052144659378825E-3</v>
      </c>
      <c r="H70">
        <f t="shared" si="3"/>
        <v>0.19765984120351024</v>
      </c>
    </row>
    <row r="71" spans="1:8" x14ac:dyDescent="0.3">
      <c r="A71" s="5" t="s">
        <v>73</v>
      </c>
      <c r="B71" s="2">
        <v>80.766666666666666</v>
      </c>
      <c r="C71" s="2">
        <v>80.666666666666657</v>
      </c>
      <c r="D71" s="2">
        <v>-1.193205966666667</v>
      </c>
      <c r="E71" s="2"/>
      <c r="F71" s="5" t="s">
        <v>77</v>
      </c>
      <c r="G71">
        <f t="shared" si="4"/>
        <v>3.714403631861294E-3</v>
      </c>
      <c r="H71">
        <f t="shared" si="3"/>
        <v>0.20206611570247951</v>
      </c>
    </row>
    <row r="72" spans="1:8" x14ac:dyDescent="0.3">
      <c r="A72" s="5" t="s">
        <v>74</v>
      </c>
      <c r="B72" s="2">
        <v>79.900000000000006</v>
      </c>
      <c r="C72" s="2">
        <v>88.9</v>
      </c>
      <c r="D72" s="2">
        <v>-1.1098211666666671</v>
      </c>
      <c r="E72" s="2"/>
      <c r="F72" s="5" t="s">
        <v>78</v>
      </c>
      <c r="G72">
        <f t="shared" si="4"/>
        <v>-8.3437630371310497E-4</v>
      </c>
      <c r="H72">
        <f t="shared" si="3"/>
        <v>4.9868766404199356E-2</v>
      </c>
    </row>
    <row r="73" spans="1:8" x14ac:dyDescent="0.3">
      <c r="A73" s="5" t="s">
        <v>75</v>
      </c>
      <c r="B73" s="2">
        <v>80.8</v>
      </c>
      <c r="C73" s="2">
        <v>92.466666666666669</v>
      </c>
      <c r="D73" s="2">
        <v>-0.55909763333333329</v>
      </c>
      <c r="E73" s="2"/>
      <c r="F73" s="5" t="s">
        <v>79</v>
      </c>
      <c r="G73">
        <f t="shared" si="4"/>
        <v>8.2508250825077825E-4</v>
      </c>
      <c r="H73">
        <f t="shared" si="3"/>
        <v>-4.6863734679164068E-3</v>
      </c>
    </row>
    <row r="74" spans="1:8" x14ac:dyDescent="0.3">
      <c r="A74" s="5" t="s">
        <v>76</v>
      </c>
      <c r="B74" s="2">
        <v>79.600000000000009</v>
      </c>
      <c r="C74" s="2">
        <v>95.533333333333331</v>
      </c>
      <c r="D74" s="2">
        <v>-0.37150706666666672</v>
      </c>
      <c r="E74" s="2"/>
      <c r="F74" s="5" t="s">
        <v>80</v>
      </c>
      <c r="G74">
        <f t="shared" si="4"/>
        <v>-8.3752093802358146E-4</v>
      </c>
      <c r="H74">
        <f t="shared" si="3"/>
        <v>3.1053733426378249E-2</v>
      </c>
    </row>
    <row r="75" spans="1:8" x14ac:dyDescent="0.3">
      <c r="A75" s="5" t="s">
        <v>77</v>
      </c>
      <c r="B75" s="2">
        <v>81.066666666666663</v>
      </c>
      <c r="C75" s="2">
        <v>96.966666666666669</v>
      </c>
      <c r="D75" s="2">
        <v>-0.26808333333333328</v>
      </c>
      <c r="E75" s="2"/>
      <c r="F75" s="5" t="s">
        <v>81</v>
      </c>
      <c r="G75">
        <f t="shared" si="4"/>
        <v>1.644736842105345E-3</v>
      </c>
      <c r="H75">
        <f t="shared" si="3"/>
        <v>5.6033001031282267E-2</v>
      </c>
    </row>
    <row r="76" spans="1:8" x14ac:dyDescent="0.3">
      <c r="A76" s="5" t="s">
        <v>78</v>
      </c>
      <c r="B76" s="2">
        <v>79.833333333333329</v>
      </c>
      <c r="C76" s="2">
        <v>93.333333333333329</v>
      </c>
      <c r="D76" s="2">
        <v>-0.20209806666666669</v>
      </c>
      <c r="E76" s="2"/>
      <c r="F76" s="5" t="s">
        <v>82</v>
      </c>
      <c r="G76">
        <f t="shared" si="4"/>
        <v>2.9227557411273608E-3</v>
      </c>
      <c r="H76">
        <f t="shared" si="3"/>
        <v>0.11500000000000048</v>
      </c>
    </row>
    <row r="77" spans="1:8" x14ac:dyDescent="0.3">
      <c r="A77" s="5" t="s">
        <v>79</v>
      </c>
      <c r="B77" s="2">
        <v>80.86666666666666</v>
      </c>
      <c r="C77" s="2">
        <v>92.033333333333331</v>
      </c>
      <c r="D77" s="2">
        <v>-8.5195499999999993E-2</v>
      </c>
      <c r="E77" s="2"/>
      <c r="F77" s="5" t="s">
        <v>83</v>
      </c>
      <c r="G77">
        <f t="shared" si="4"/>
        <v>2.4732069249794254E-3</v>
      </c>
      <c r="H77">
        <f t="shared" si="3"/>
        <v>0.15755161173487836</v>
      </c>
    </row>
    <row r="78" spans="1:8" x14ac:dyDescent="0.3">
      <c r="A78" s="5" t="s">
        <v>80</v>
      </c>
      <c r="B78" s="2">
        <v>79.533333333333331</v>
      </c>
      <c r="C78" s="2">
        <v>98.5</v>
      </c>
      <c r="D78" s="2">
        <v>0.37934950000000001</v>
      </c>
      <c r="E78" s="2"/>
      <c r="F78" s="5" t="s">
        <v>84</v>
      </c>
      <c r="G78">
        <f t="shared" si="4"/>
        <v>-4.1911148365462834E-4</v>
      </c>
      <c r="H78">
        <f t="shared" si="3"/>
        <v>4.9407783417936064E-2</v>
      </c>
    </row>
    <row r="79" spans="1:8" x14ac:dyDescent="0.3">
      <c r="A79" s="5" t="s">
        <v>81</v>
      </c>
      <c r="B79" s="2">
        <v>81.2</v>
      </c>
      <c r="C79" s="2">
        <v>102.4</v>
      </c>
      <c r="D79" s="2">
        <v>-0.43985916666666669</v>
      </c>
      <c r="E79" s="2"/>
      <c r="F79" s="5" t="s">
        <v>85</v>
      </c>
      <c r="G79">
        <f t="shared" si="4"/>
        <v>-3.694581280788142E-3</v>
      </c>
      <c r="H79">
        <f t="shared" si="3"/>
        <v>2.604166666666699E-2</v>
      </c>
    </row>
    <row r="80" spans="1:8" x14ac:dyDescent="0.3">
      <c r="A80" s="5" t="s">
        <v>82</v>
      </c>
      <c r="B80" s="2">
        <v>80.066666666666663</v>
      </c>
      <c r="C80" s="2">
        <v>104.06666666666671</v>
      </c>
      <c r="D80" s="2">
        <v>-0.39448376666666668</v>
      </c>
      <c r="E80" s="2"/>
      <c r="F80" s="5" t="s">
        <v>86</v>
      </c>
      <c r="G80">
        <f t="shared" si="4"/>
        <v>-4.163197335553469E-4</v>
      </c>
      <c r="H80">
        <f t="shared" si="3"/>
        <v>-1.729660474055103E-2</v>
      </c>
    </row>
    <row r="81" spans="1:8" x14ac:dyDescent="0.3">
      <c r="A81" s="5" t="s">
        <v>83</v>
      </c>
      <c r="B81" s="2">
        <v>81.066666666666663</v>
      </c>
      <c r="C81" s="2">
        <v>106.5333333333333</v>
      </c>
      <c r="D81" s="2">
        <v>-0.35584270000000001</v>
      </c>
      <c r="E81" s="2"/>
      <c r="F81" s="5" t="s">
        <v>87</v>
      </c>
      <c r="G81">
        <f t="shared" si="4"/>
        <v>2.0559210526316374E-3</v>
      </c>
      <c r="H81">
        <f t="shared" si="3"/>
        <v>-4.255319148936143E-2</v>
      </c>
    </row>
    <row r="82" spans="1:8" x14ac:dyDescent="0.3">
      <c r="A82" s="5" t="s">
        <v>84</v>
      </c>
      <c r="B82" s="2">
        <v>79.5</v>
      </c>
      <c r="C82" s="2">
        <v>103.3666666666667</v>
      </c>
      <c r="D82" s="2">
        <v>-0.25274839999999998</v>
      </c>
      <c r="E82" s="2"/>
      <c r="F82" s="5" t="s">
        <v>88</v>
      </c>
      <c r="G82">
        <f t="shared" si="4"/>
        <v>1.3836477987421313E-2</v>
      </c>
      <c r="H82">
        <f t="shared" si="3"/>
        <v>1.9671073847145781E-2</v>
      </c>
    </row>
    <row r="83" spans="1:8" x14ac:dyDescent="0.3">
      <c r="A83" s="5" t="s">
        <v>85</v>
      </c>
      <c r="B83" s="2">
        <v>80.900000000000006</v>
      </c>
      <c r="C83" s="2">
        <v>105.06666666666671</v>
      </c>
      <c r="D83" s="2">
        <v>-0.12476046666666669</v>
      </c>
      <c r="E83" s="2"/>
      <c r="F83" s="5" t="s">
        <v>89</v>
      </c>
      <c r="G83">
        <f t="shared" si="4"/>
        <v>1.6069221260815787E-2</v>
      </c>
      <c r="H83">
        <f t="shared" ref="H83:H118" si="5">(C87-C83)/C83</f>
        <v>1.7449238578679881E-2</v>
      </c>
    </row>
    <row r="84" spans="1:8" x14ac:dyDescent="0.3">
      <c r="A84" s="5" t="s">
        <v>86</v>
      </c>
      <c r="B84" s="2">
        <v>80.033333333333331</v>
      </c>
      <c r="C84" s="2">
        <v>102.26666666666669</v>
      </c>
      <c r="D84" s="2">
        <v>-0.56479253333333335</v>
      </c>
      <c r="E84" s="2"/>
      <c r="F84" s="5" t="s">
        <v>90</v>
      </c>
      <c r="G84">
        <f t="shared" si="4"/>
        <v>1.2911286963765074E-2</v>
      </c>
      <c r="H84">
        <f t="shared" si="5"/>
        <v>6.0951760104302193E-2</v>
      </c>
    </row>
    <row r="85" spans="1:8" x14ac:dyDescent="0.3">
      <c r="A85" s="5" t="s">
        <v>87</v>
      </c>
      <c r="B85" s="2">
        <v>81.233333333333334</v>
      </c>
      <c r="C85" s="2">
        <v>102</v>
      </c>
      <c r="D85" s="2">
        <v>-1.0458145666666669</v>
      </c>
      <c r="E85" s="2"/>
      <c r="F85" s="5" t="s">
        <v>91</v>
      </c>
      <c r="G85">
        <f t="shared" si="4"/>
        <v>1.0258514567090626E-2</v>
      </c>
      <c r="H85">
        <f t="shared" si="5"/>
        <v>9.3464052287581409E-2</v>
      </c>
    </row>
    <row r="86" spans="1:8" x14ac:dyDescent="0.3">
      <c r="A86" s="5" t="s">
        <v>88</v>
      </c>
      <c r="B86" s="2">
        <v>80.599999999999994</v>
      </c>
      <c r="C86" s="2">
        <v>105.4</v>
      </c>
      <c r="D86" s="2">
        <v>-2.061164433333333</v>
      </c>
      <c r="E86" s="2"/>
      <c r="F86" s="5" t="s">
        <v>92</v>
      </c>
      <c r="G86">
        <f t="shared" si="4"/>
        <v>8.6848635235732361E-3</v>
      </c>
      <c r="H86">
        <f t="shared" si="5"/>
        <v>3.7318153067678314E-2</v>
      </c>
    </row>
    <row r="87" spans="1:8" x14ac:dyDescent="0.3">
      <c r="A87" s="5" t="s">
        <v>89</v>
      </c>
      <c r="B87" s="2">
        <v>82.2</v>
      </c>
      <c r="C87" s="2">
        <v>106.9</v>
      </c>
      <c r="D87" s="2">
        <v>-1.863281133333333</v>
      </c>
      <c r="E87" s="2"/>
      <c r="F87" s="5" t="s">
        <v>93</v>
      </c>
      <c r="G87">
        <f t="shared" si="4"/>
        <v>9.7323600973235665E-3</v>
      </c>
      <c r="H87">
        <f t="shared" si="5"/>
        <v>1.4343623323978379E-2</v>
      </c>
    </row>
    <row r="88" spans="1:8" x14ac:dyDescent="0.3">
      <c r="A88" s="5" t="s">
        <v>90</v>
      </c>
      <c r="B88" s="2">
        <v>81.066666666666663</v>
      </c>
      <c r="C88" s="2">
        <v>108.5</v>
      </c>
      <c r="D88" s="2">
        <v>-1.796298866666667</v>
      </c>
      <c r="E88" s="2"/>
      <c r="F88" s="5" t="s">
        <v>94</v>
      </c>
      <c r="G88">
        <f t="shared" si="4"/>
        <v>1.6858552631579041E-2</v>
      </c>
      <c r="H88">
        <f t="shared" si="5"/>
        <v>-1.1367127496159502E-2</v>
      </c>
    </row>
    <row r="89" spans="1:8" x14ac:dyDescent="0.3">
      <c r="A89" s="5" t="s">
        <v>91</v>
      </c>
      <c r="B89" s="2">
        <v>82.066666666666663</v>
      </c>
      <c r="C89" s="2">
        <v>111.5333333333333</v>
      </c>
      <c r="D89" s="2">
        <v>-1.7288133999999999</v>
      </c>
      <c r="E89" s="2"/>
      <c r="F89" s="5" t="s">
        <v>95</v>
      </c>
      <c r="G89">
        <f t="shared" si="4"/>
        <v>1.4216084484159279E-2</v>
      </c>
      <c r="H89">
        <f t="shared" si="5"/>
        <v>-6.2462641960549306E-2</v>
      </c>
    </row>
    <row r="90" spans="1:8" x14ac:dyDescent="0.3">
      <c r="A90" s="5" t="s">
        <v>92</v>
      </c>
      <c r="B90" s="2">
        <v>81.3</v>
      </c>
      <c r="C90" s="2">
        <v>109.3333333333333</v>
      </c>
      <c r="D90" s="2">
        <v>-1.5949530999999999</v>
      </c>
      <c r="E90" s="2"/>
      <c r="F90" s="5" t="s">
        <v>96</v>
      </c>
      <c r="G90">
        <f t="shared" si="4"/>
        <v>1.0660106601066104E-2</v>
      </c>
      <c r="H90">
        <f t="shared" si="5"/>
        <v>-7.3780487804877518E-2</v>
      </c>
    </row>
    <row r="91" spans="1:8" x14ac:dyDescent="0.3">
      <c r="A91" s="5" t="s">
        <v>93</v>
      </c>
      <c r="B91" s="2">
        <v>83</v>
      </c>
      <c r="C91" s="2">
        <v>108.43333333333329</v>
      </c>
      <c r="D91" s="2">
        <v>-2.0585749666666668</v>
      </c>
      <c r="E91" s="2"/>
      <c r="F91" s="5" t="s">
        <v>97</v>
      </c>
      <c r="G91">
        <f t="shared" si="4"/>
        <v>9.2369477911646465E-3</v>
      </c>
      <c r="H91">
        <f t="shared" si="5"/>
        <v>-6.0559483553642122E-2</v>
      </c>
    </row>
    <row r="92" spans="1:8" x14ac:dyDescent="0.3">
      <c r="A92" s="5" t="s">
        <v>94</v>
      </c>
      <c r="B92" s="2">
        <v>82.433333333333337</v>
      </c>
      <c r="C92" s="2">
        <v>107.26666666666669</v>
      </c>
      <c r="D92" s="2">
        <v>-2.4528591</v>
      </c>
      <c r="E92" s="2"/>
      <c r="F92" s="5" t="s">
        <v>98</v>
      </c>
      <c r="G92">
        <f t="shared" si="4"/>
        <v>3.2349373230893537E-3</v>
      </c>
      <c r="H92">
        <f t="shared" si="5"/>
        <v>-5.8421379738968542E-2</v>
      </c>
    </row>
    <row r="93" spans="1:8" x14ac:dyDescent="0.3">
      <c r="A93" s="5" t="s">
        <v>95</v>
      </c>
      <c r="B93" s="2">
        <v>83.233333333333334</v>
      </c>
      <c r="C93" s="2">
        <v>104.56666666666671</v>
      </c>
      <c r="D93" s="2">
        <v>-2.2153179999999999</v>
      </c>
      <c r="E93" s="2"/>
      <c r="F93" s="5" t="s">
        <v>99</v>
      </c>
      <c r="G93">
        <f t="shared" si="4"/>
        <v>3.2038446135362322E-3</v>
      </c>
      <c r="H93">
        <f t="shared" si="5"/>
        <v>-4.0484539368824388E-2</v>
      </c>
    </row>
    <row r="94" spans="1:8" x14ac:dyDescent="0.3">
      <c r="A94" s="5" t="s">
        <v>96</v>
      </c>
      <c r="B94" s="2">
        <v>82.166666666666671</v>
      </c>
      <c r="C94" s="2">
        <v>101.26666666666669</v>
      </c>
      <c r="D94" s="2">
        <v>-1.741880166666667</v>
      </c>
      <c r="E94" s="2"/>
      <c r="F94" s="5" t="s">
        <v>100</v>
      </c>
      <c r="G94">
        <f t="shared" si="4"/>
        <v>2.0283975659228055E-3</v>
      </c>
      <c r="H94">
        <f t="shared" si="5"/>
        <v>-7.5707702435813345E-2</v>
      </c>
    </row>
    <row r="95" spans="1:8" x14ac:dyDescent="0.3">
      <c r="A95" s="5" t="s">
        <v>97</v>
      </c>
      <c r="B95" s="2">
        <v>83.766666666666666</v>
      </c>
      <c r="C95" s="2">
        <v>101.8666666666667</v>
      </c>
      <c r="D95" s="2">
        <v>-1.7170711999999999</v>
      </c>
      <c r="E95" s="2"/>
      <c r="F95" s="5" t="s">
        <v>101</v>
      </c>
      <c r="G95">
        <f t="shared" si="4"/>
        <v>-1.989653800238815E-3</v>
      </c>
      <c r="H95">
        <f t="shared" si="5"/>
        <v>-0.38547120418848185</v>
      </c>
    </row>
    <row r="96" spans="1:8" x14ac:dyDescent="0.3">
      <c r="A96" s="5" t="s">
        <v>98</v>
      </c>
      <c r="B96" s="2">
        <v>82.7</v>
      </c>
      <c r="C96" s="2">
        <v>101</v>
      </c>
      <c r="D96" s="2">
        <v>-1.330040933333333</v>
      </c>
      <c r="E96" s="2"/>
      <c r="F96" s="5" t="s">
        <v>102</v>
      </c>
      <c r="G96">
        <f t="shared" si="4"/>
        <v>-2.8214429665457592E-3</v>
      </c>
      <c r="H96">
        <f t="shared" si="5"/>
        <v>-0.16534653465346538</v>
      </c>
    </row>
    <row r="97" spans="1:8" x14ac:dyDescent="0.3">
      <c r="A97" s="5" t="s">
        <v>99</v>
      </c>
      <c r="B97" s="2">
        <v>83.5</v>
      </c>
      <c r="C97" s="2">
        <v>100.3333333333333</v>
      </c>
      <c r="D97" s="2">
        <v>-1.4029517666666671</v>
      </c>
      <c r="E97" s="2"/>
      <c r="F97" s="5" t="s">
        <v>103</v>
      </c>
      <c r="G97">
        <f t="shared" si="4"/>
        <v>-3.9920159680639855E-3</v>
      </c>
      <c r="H97">
        <f t="shared" si="5"/>
        <v>-0.10299003322259107</v>
      </c>
    </row>
    <row r="98" spans="1:8" x14ac:dyDescent="0.3">
      <c r="A98" s="5" t="s">
        <v>100</v>
      </c>
      <c r="B98" s="2">
        <v>82.333333333333329</v>
      </c>
      <c r="C98" s="2">
        <v>93.6</v>
      </c>
      <c r="D98" s="2">
        <v>-1.5055409333333329</v>
      </c>
      <c r="E98" s="2"/>
      <c r="F98" s="5" t="s">
        <v>104</v>
      </c>
      <c r="G98">
        <f t="shared" si="4"/>
        <v>7.2874493927126546E-3</v>
      </c>
      <c r="H98">
        <f t="shared" si="5"/>
        <v>5.8048433048433094E-2</v>
      </c>
    </row>
    <row r="99" spans="1:8" x14ac:dyDescent="0.3">
      <c r="A99" s="5" t="s">
        <v>101</v>
      </c>
      <c r="B99" s="2">
        <v>83.6</v>
      </c>
      <c r="C99" s="2">
        <v>62.6</v>
      </c>
      <c r="D99" s="2">
        <v>-0.53400000000000003</v>
      </c>
      <c r="E99" s="2"/>
      <c r="F99" s="5" t="s">
        <v>105</v>
      </c>
      <c r="G99">
        <f t="shared" si="4"/>
        <v>1.1164274322169106E-2</v>
      </c>
      <c r="H99">
        <f t="shared" si="5"/>
        <v>0.79552715654952078</v>
      </c>
    </row>
    <row r="100" spans="1:8" x14ac:dyDescent="0.3">
      <c r="A100" s="5" t="s">
        <v>102</v>
      </c>
      <c r="B100" s="2">
        <v>82.466666666666669</v>
      </c>
      <c r="C100" s="2">
        <v>84.3</v>
      </c>
      <c r="D100" s="2">
        <v>-0.43840276666666672</v>
      </c>
      <c r="E100" s="2"/>
      <c r="F100" s="5" t="s">
        <v>106</v>
      </c>
      <c r="G100">
        <f t="shared" si="4"/>
        <v>2.1422797089733214E-2</v>
      </c>
      <c r="H100">
        <f t="shared" si="5"/>
        <v>0.41083432186634994</v>
      </c>
    </row>
    <row r="101" spans="1:8" x14ac:dyDescent="0.3">
      <c r="A101" s="5" t="s">
        <v>103</v>
      </c>
      <c r="B101" s="2">
        <v>83.166666666666657</v>
      </c>
      <c r="C101" s="2">
        <v>90</v>
      </c>
      <c r="D101" s="2">
        <v>-0.2226948</v>
      </c>
      <c r="E101" s="2"/>
      <c r="F101" s="5" t="s">
        <v>107</v>
      </c>
      <c r="G101">
        <f t="shared" si="4"/>
        <v>3.8076152304609277E-2</v>
      </c>
      <c r="H101">
        <f t="shared" si="5"/>
        <v>0.3262962962962967</v>
      </c>
    </row>
    <row r="102" spans="1:8" x14ac:dyDescent="0.3">
      <c r="A102" s="5" t="s">
        <v>104</v>
      </c>
      <c r="B102" s="2">
        <v>82.933333333333337</v>
      </c>
      <c r="C102" s="2">
        <v>99.033333333333331</v>
      </c>
      <c r="D102" s="2">
        <v>-1.575779</v>
      </c>
      <c r="E102" s="2"/>
      <c r="F102" s="5" t="s">
        <v>108</v>
      </c>
      <c r="G102">
        <f t="shared" si="4"/>
        <v>6.028938906752411E-2</v>
      </c>
      <c r="H102">
        <f t="shared" si="5"/>
        <v>0.10063951531470887</v>
      </c>
    </row>
    <row r="103" spans="1:8" x14ac:dyDescent="0.3">
      <c r="A103" s="5" t="s">
        <v>105</v>
      </c>
      <c r="B103" s="2">
        <v>84.533333333333331</v>
      </c>
      <c r="C103" s="2">
        <v>112.4</v>
      </c>
      <c r="D103" s="2">
        <v>-2.3737181000000001</v>
      </c>
      <c r="E103" s="2"/>
      <c r="F103" s="5" t="s">
        <v>109</v>
      </c>
      <c r="G103">
        <f t="shared" si="4"/>
        <v>7.4132492113564666E-2</v>
      </c>
      <c r="H103">
        <f t="shared" si="5"/>
        <v>-6.7022538552787392E-2</v>
      </c>
    </row>
    <row r="104" spans="1:8" x14ac:dyDescent="0.3">
      <c r="A104" s="5" t="s">
        <v>106</v>
      </c>
      <c r="B104" s="2">
        <v>84.233333333333334</v>
      </c>
      <c r="C104" s="2">
        <v>118.93333333333329</v>
      </c>
      <c r="D104" s="2">
        <v>-3.4124848666666669</v>
      </c>
      <c r="E104" s="2"/>
      <c r="F104" s="5" t="s">
        <v>110</v>
      </c>
      <c r="G104">
        <f t="shared" si="4"/>
        <v>8.9829837752275377E-2</v>
      </c>
      <c r="H104">
        <f t="shared" si="5"/>
        <v>-0.17040358744394588</v>
      </c>
    </row>
    <row r="105" spans="1:8" x14ac:dyDescent="0.3">
      <c r="A105" s="5" t="s">
        <v>107</v>
      </c>
      <c r="B105" s="2">
        <v>86.333333333333329</v>
      </c>
      <c r="C105" s="2">
        <v>119.3666666666667</v>
      </c>
      <c r="D105" s="2">
        <v>-5.2330432</v>
      </c>
      <c r="E105" s="2"/>
      <c r="F105" s="5" t="s">
        <v>111</v>
      </c>
      <c r="G105">
        <f t="shared" si="4"/>
        <v>0.12432432432432435</v>
      </c>
      <c r="H105">
        <f t="shared" si="5"/>
        <v>-0.17285674392627781</v>
      </c>
    </row>
    <row r="106" spans="1:8" x14ac:dyDescent="0.3">
      <c r="A106" s="5" t="s">
        <v>108</v>
      </c>
      <c r="B106" s="2">
        <v>87.933333333333337</v>
      </c>
      <c r="C106" s="2">
        <v>109</v>
      </c>
      <c r="D106" s="2">
        <v>-6.6623592333333326</v>
      </c>
      <c r="E106" s="2"/>
      <c r="F106" s="5" t="s">
        <v>112</v>
      </c>
      <c r="G106">
        <f t="shared" si="4"/>
        <v>9.5147839272175808E-2</v>
      </c>
      <c r="H106">
        <f t="shared" si="5"/>
        <v>-5.8715596330275281E-2</v>
      </c>
    </row>
    <row r="107" spans="1:8" x14ac:dyDescent="0.3">
      <c r="A107" s="5" t="s">
        <v>109</v>
      </c>
      <c r="B107" s="2">
        <v>90.8</v>
      </c>
      <c r="C107" s="2">
        <v>104.8666666666667</v>
      </c>
      <c r="D107" s="2">
        <v>-8.390949766666667</v>
      </c>
      <c r="E107" s="2"/>
      <c r="F107" s="5" t="s">
        <v>113</v>
      </c>
      <c r="G107">
        <f t="shared" si="4"/>
        <v>7.7826725403817881E-2</v>
      </c>
      <c r="H107">
        <f t="shared" si="5"/>
        <v>-2.5111252383980254E-2</v>
      </c>
    </row>
    <row r="108" spans="1:8" x14ac:dyDescent="0.3">
      <c r="A108" s="5" t="s">
        <v>110</v>
      </c>
      <c r="B108" s="2">
        <v>91.8</v>
      </c>
      <c r="C108" s="2">
        <v>98.666666666666671</v>
      </c>
      <c r="D108" s="2">
        <v>-8.8192594333333343</v>
      </c>
      <c r="E108" s="2"/>
      <c r="F108" s="5" t="s">
        <v>114</v>
      </c>
      <c r="G108">
        <f t="shared" si="4"/>
        <v>5.8097312999273731E-2</v>
      </c>
      <c r="H108">
        <f t="shared" si="5"/>
        <v>7.4324324324324415E-3</v>
      </c>
    </row>
    <row r="109" spans="1:8" x14ac:dyDescent="0.3">
      <c r="A109" s="5" t="s">
        <v>111</v>
      </c>
      <c r="B109" s="2">
        <v>97.066666666666663</v>
      </c>
      <c r="C109" s="2">
        <v>98.733333333333334</v>
      </c>
      <c r="D109" s="2">
        <v>-8.1945432666666669</v>
      </c>
      <c r="E109" s="2"/>
      <c r="F109" s="5" t="s">
        <v>115</v>
      </c>
      <c r="G109">
        <f t="shared" si="4"/>
        <v>9.9587912087912289E-3</v>
      </c>
      <c r="H109">
        <f t="shared" si="5"/>
        <v>-8.7778528021606357E-3</v>
      </c>
    </row>
    <row r="110" spans="1:8" x14ac:dyDescent="0.3">
      <c r="A110" s="5" t="s">
        <v>112</v>
      </c>
      <c r="B110" s="2">
        <v>96.3</v>
      </c>
      <c r="C110" s="2">
        <v>102.6</v>
      </c>
      <c r="D110" s="2">
        <v>-5.3680737333333326</v>
      </c>
      <c r="E110" s="2"/>
      <c r="F110" s="5" t="s">
        <v>116</v>
      </c>
      <c r="G110">
        <f t="shared" si="4"/>
        <v>1.0038075458636227E-2</v>
      </c>
      <c r="H110">
        <f t="shared" si="5"/>
        <v>-2.3716699155295271E-2</v>
      </c>
    </row>
    <row r="111" spans="1:8" x14ac:dyDescent="0.3">
      <c r="A111" s="5" t="s">
        <v>113</v>
      </c>
      <c r="B111" s="2">
        <v>97.86666666666666</v>
      </c>
      <c r="C111" s="2">
        <v>102.23333333333331</v>
      </c>
      <c r="D111" s="2">
        <v>-2.8435671999999999</v>
      </c>
      <c r="E111" s="2"/>
      <c r="F111" s="5" t="s">
        <v>117</v>
      </c>
      <c r="G111">
        <f t="shared" si="4"/>
        <v>8.5149863760218963E-3</v>
      </c>
      <c r="H111">
        <f t="shared" si="5"/>
        <v>-2.0215194000651516E-2</v>
      </c>
    </row>
    <row r="112" spans="1:8" x14ac:dyDescent="0.3">
      <c r="A112" s="5" t="s">
        <v>114</v>
      </c>
      <c r="B112" s="2">
        <v>97.133333333333326</v>
      </c>
      <c r="C112" s="2">
        <v>99.4</v>
      </c>
      <c r="D112" s="2">
        <v>-1.1559462</v>
      </c>
      <c r="E112" s="2"/>
      <c r="F112" s="5" t="s">
        <v>118</v>
      </c>
      <c r="G112">
        <f t="shared" si="4"/>
        <v>1.2010981468771498E-2</v>
      </c>
      <c r="H112">
        <f t="shared" si="5"/>
        <v>2.0120724346076742E-3</v>
      </c>
    </row>
    <row r="113" spans="1:8" x14ac:dyDescent="0.3">
      <c r="A113" s="5" t="s">
        <v>115</v>
      </c>
      <c r="B113" s="2">
        <v>98.033333333333331</v>
      </c>
      <c r="C113" s="2">
        <v>97.866666666666674</v>
      </c>
      <c r="D113" s="2">
        <v>1.2241226666666669</v>
      </c>
      <c r="E113" s="2"/>
      <c r="F113" s="5" t="s">
        <v>119</v>
      </c>
      <c r="G113">
        <f t="shared" si="4"/>
        <v>1.2580754845290728E-2</v>
      </c>
      <c r="H113">
        <f t="shared" si="5"/>
        <v>9.5367847411443069E-3</v>
      </c>
    </row>
    <row r="114" spans="1:8" x14ac:dyDescent="0.3">
      <c r="A114" s="5" t="s">
        <v>116</v>
      </c>
      <c r="B114" s="2">
        <v>97.266666666666666</v>
      </c>
      <c r="C114" s="2">
        <v>100.1666666666667</v>
      </c>
      <c r="D114" s="2">
        <v>1.323614733333333</v>
      </c>
      <c r="E114" s="2"/>
      <c r="F114" s="5" t="s">
        <v>120</v>
      </c>
      <c r="G114">
        <f t="shared" si="4"/>
        <v>1.8163125428375591E-2</v>
      </c>
      <c r="H114">
        <f t="shared" si="5"/>
        <v>-1.1647254575707483E-2</v>
      </c>
    </row>
    <row r="115" spans="1:8" x14ac:dyDescent="0.3">
      <c r="A115" s="5" t="s">
        <v>117</v>
      </c>
      <c r="B115" s="2">
        <v>98.7</v>
      </c>
      <c r="C115" s="2">
        <v>100.1666666666667</v>
      </c>
      <c r="D115" s="2">
        <v>1.308171933333333</v>
      </c>
      <c r="E115" s="2"/>
      <c r="F115" s="5" t="s">
        <v>121</v>
      </c>
      <c r="G115">
        <f t="shared" si="4"/>
        <v>1.8237082066869272E-2</v>
      </c>
      <c r="H115">
        <f t="shared" si="5"/>
        <v>-2.229617304492541E-2</v>
      </c>
    </row>
    <row r="116" spans="1:8" x14ac:dyDescent="0.3">
      <c r="A116" s="5" t="s">
        <v>118</v>
      </c>
      <c r="B116" s="2">
        <v>98.3</v>
      </c>
      <c r="C116" s="2">
        <v>99.600000000000009</v>
      </c>
      <c r="D116" s="2">
        <v>1.3887104333333331</v>
      </c>
      <c r="E116" s="2"/>
      <c r="F116" s="5" t="s">
        <v>122</v>
      </c>
      <c r="G116">
        <f t="shared" si="4"/>
        <v>1.6954899966090248E-2</v>
      </c>
      <c r="H116">
        <f t="shared" si="5"/>
        <v>-4.0160642570281693E-3</v>
      </c>
    </row>
    <row r="117" spans="1:8" x14ac:dyDescent="0.3">
      <c r="A117" s="5" t="s">
        <v>119</v>
      </c>
      <c r="B117" s="2">
        <v>99.266666666666666</v>
      </c>
      <c r="C117" s="2">
        <v>98.8</v>
      </c>
      <c r="D117" s="2">
        <v>0.79648716666666663</v>
      </c>
      <c r="E117" s="2"/>
      <c r="F117" s="5" t="s">
        <v>123</v>
      </c>
      <c r="G117">
        <f t="shared" si="4"/>
        <v>1.2088650100739066E-2</v>
      </c>
      <c r="H117">
        <f t="shared" si="5"/>
        <v>2.5303643724696356E-2</v>
      </c>
    </row>
    <row r="118" spans="1:8" x14ac:dyDescent="0.3">
      <c r="A118" s="5" t="s">
        <v>120</v>
      </c>
      <c r="B118" s="2">
        <v>99.033333333333331</v>
      </c>
      <c r="C118" s="2">
        <v>99</v>
      </c>
      <c r="D118" s="2">
        <v>0.22350300000000001</v>
      </c>
      <c r="E118" s="2"/>
      <c r="F118" s="5" t="s">
        <v>124</v>
      </c>
      <c r="G118">
        <f t="shared" si="4"/>
        <v>1.3463480309660431E-2</v>
      </c>
      <c r="H118">
        <f t="shared" si="5"/>
        <v>2.7946127946128222E-2</v>
      </c>
    </row>
    <row r="119" spans="1:8" x14ac:dyDescent="0.3">
      <c r="A119" s="5" t="s">
        <v>121</v>
      </c>
      <c r="B119" s="2">
        <v>100.5</v>
      </c>
      <c r="C119" s="2">
        <v>97.933333333333337</v>
      </c>
      <c r="D119" s="2">
        <v>7.4357833333333331E-2</v>
      </c>
      <c r="E119" s="2"/>
    </row>
    <row r="120" spans="1:8" x14ac:dyDescent="0.3">
      <c r="A120" s="5" t="s">
        <v>122</v>
      </c>
      <c r="B120" s="2">
        <v>99.966666666666669</v>
      </c>
      <c r="C120" s="2">
        <v>99.2</v>
      </c>
      <c r="D120" s="2">
        <v>-5.509476666666667E-2</v>
      </c>
      <c r="E120" s="2"/>
    </row>
    <row r="121" spans="1:8" x14ac:dyDescent="0.3">
      <c r="A121" s="5" t="s">
        <v>123</v>
      </c>
      <c r="B121" s="2">
        <v>100.4666666666667</v>
      </c>
      <c r="C121" s="2">
        <v>101.3</v>
      </c>
      <c r="D121" s="2">
        <v>8.1700000000000019E-3</v>
      </c>
      <c r="E121" s="2"/>
    </row>
    <row r="122" spans="1:8" x14ac:dyDescent="0.3">
      <c r="A122" s="5" t="s">
        <v>124</v>
      </c>
      <c r="B122" s="2">
        <v>100.3666666666667</v>
      </c>
      <c r="C122" s="2">
        <v>101.76666666666669</v>
      </c>
      <c r="D122" s="2">
        <v>-0.13964499999999999</v>
      </c>
      <c r="E1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db</vt:lpstr>
      <vt:lpstr>db_</vt:lpstr>
      <vt:lpstr>gdp</vt:lpstr>
      <vt:lpstr>ftse_mib</vt:lpstr>
      <vt:lpstr>IP</vt:lpstr>
      <vt:lpstr>hicp</vt:lpstr>
      <vt:lpstr>ESI</vt:lpstr>
      <vt:lpstr>EURIBOR</vt:lpstr>
      <vt:lpstr>monthly to quarterly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</dc:creator>
  <cp:lastModifiedBy>GIORGIO UCROPINA</cp:lastModifiedBy>
  <dcterms:created xsi:type="dcterms:W3CDTF">2015-06-05T18:17:20Z</dcterms:created>
  <dcterms:modified xsi:type="dcterms:W3CDTF">2026-04-25T14:33:22Z</dcterms:modified>
</cp:coreProperties>
</file>